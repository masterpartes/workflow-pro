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 Guerra\Desktop\workflow-pro\"/>
    </mc:Choice>
  </mc:AlternateContent>
  <xr:revisionPtr revIDLastSave="0" documentId="13_ncr:1_{CD75CC84-DE34-4B1B-894E-97E986956947}" xr6:coauthVersionLast="47" xr6:coauthVersionMax="47" xr10:uidLastSave="{00000000-0000-0000-0000-000000000000}"/>
  <bookViews>
    <workbookView xWindow="14070" yWindow="4290" windowWidth="14250" windowHeight="12435" activeTab="1" xr2:uid="{00000000-000D-0000-FFFF-FFFF00000000}"/>
  </bookViews>
  <sheets>
    <sheet name="CONFIG" sheetId="1" r:id="rId1"/>
    <sheet name="COTIZACION" sheetId="2" r:id="rId2"/>
    <sheet name="HISTORICO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3" i="2" l="1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I52" i="3"/>
</calcChain>
</file>

<file path=xl/sharedStrings.xml><?xml version="1.0" encoding="utf-8"?>
<sst xmlns="http://schemas.openxmlformats.org/spreadsheetml/2006/main" count="3074" uniqueCount="1544">
  <si>
    <t>PARÁMETROS GLOBALES</t>
  </si>
  <si>
    <t>IVA (%)</t>
  </si>
  <si>
    <t>ISD (%)</t>
  </si>
  <si>
    <t>MARGEN_DEFAULT (%)</t>
  </si>
  <si>
    <t>COTIZACIÓN MASIVA — MASTER PARTES</t>
  </si>
  <si>
    <t>PARTE</t>
  </si>
  <si>
    <t>DESCRIPCION</t>
  </si>
  <si>
    <t>SUBPARTIDA</t>
  </si>
  <si>
    <t>FOB ($)</t>
  </si>
  <si>
    <t>PESO (kg)</t>
  </si>
  <si>
    <t>ARANCEL (%)</t>
  </si>
  <si>
    <t>MARGEN (%)</t>
  </si>
  <si>
    <t>INSURANCE</t>
  </si>
  <si>
    <t>FREIGHT</t>
  </si>
  <si>
    <t>CIF</t>
  </si>
  <si>
    <t>ADVALOREM</t>
  </si>
  <si>
    <t>FONDINFA</t>
  </si>
  <si>
    <t>IVA_ADUANA</t>
  </si>
  <si>
    <t>TOTAL_ADUANA</t>
  </si>
  <si>
    <t>SALIDA_DIVISAS</t>
  </si>
  <si>
    <t>FLETE_SIATI</t>
  </si>
  <si>
    <t>FUEL_COURIER</t>
  </si>
  <si>
    <t>RAYOS_X</t>
  </si>
  <si>
    <t>TRAMITE</t>
  </si>
  <si>
    <t>TOTAL_SIATI</t>
  </si>
  <si>
    <t>PRECIO_UIO</t>
  </si>
  <si>
    <t>GANANCIA</t>
  </si>
  <si>
    <t>CREDITO_IVA</t>
  </si>
  <si>
    <t>PRECIO_OFERTA</t>
  </si>
  <si>
    <t>IMPORTADO</t>
  </si>
  <si>
    <t>N/A</t>
  </si>
  <si>
    <t>OEM_MSRP ($)</t>
  </si>
  <si>
    <t>OEM_PRECIO ($)</t>
  </si>
  <si>
    <t>VIN_FITS</t>
  </si>
  <si>
    <t>OEM_URL</t>
  </si>
  <si>
    <t>EBAY_GENUINE($)</t>
  </si>
  <si>
    <t>EBAY_GENUINE_URL</t>
  </si>
  <si>
    <t>EBAY_AFTER($)</t>
  </si>
  <si>
    <t>EBAY_AFTER_URL</t>
  </si>
  <si>
    <t>AVK_GENUINE(€)</t>
  </si>
  <si>
    <t>AVK_AFTER(€)</t>
  </si>
  <si>
    <t>7318.15.90.00</t>
  </si>
  <si>
    <t>PARRILLA</t>
  </si>
  <si>
    <t>COT. 2917  |  567031-1  |  CHUBB SEGUROS ECUADOR SA  |  PDU2827 (2022)  |  VR3USHNLGNJ516092  |  AUTOREP SERVICIOS AUTOMOTRICES</t>
  </si>
  <si>
    <t>CAJA DE DIRECCION</t>
  </si>
  <si>
    <t>4016.99.30.00</t>
  </si>
  <si>
    <t xml:space="preserve">
65 070 851 80</t>
  </si>
  <si>
    <t>8301.20.00.00</t>
  </si>
  <si>
    <t>8708.10.00.00</t>
  </si>
  <si>
    <t>MOLDUR NIQUELD CAPO</t>
  </si>
  <si>
    <t>MOLDURA INERNA CAPO</t>
  </si>
  <si>
    <t>52119 0K820</t>
  </si>
  <si>
    <t>PARACHOQUES DEL.</t>
  </si>
  <si>
    <t>53100 0KG81</t>
  </si>
  <si>
    <t>REJILLA PARACHO DEL</t>
  </si>
  <si>
    <t>52021 KK010</t>
  </si>
  <si>
    <t>VIGA PARACHOQUES DL.</t>
  </si>
  <si>
    <t>260709175213338</t>
  </si>
  <si>
    <t>260709175213354</t>
  </si>
  <si>
    <t>260709175213322</t>
  </si>
  <si>
    <t>COT. 5656  |  7260118  |  Latina Seguros  |  LBC7049 (2020)  |  MR0CX8CD0L0694944  |  IMPORTADORA TOMEBAMBA LOJA  |  21/07/2026 11:58</t>
  </si>
  <si>
    <t>6407A337</t>
  </si>
  <si>
    <t>PLAT.INF.I.PARACH.DL</t>
  </si>
  <si>
    <t>6407A336</t>
  </si>
  <si>
    <t>PLAT.SP.D.PARACH.DL.</t>
  </si>
  <si>
    <t>6407A335</t>
  </si>
  <si>
    <t>PLAT.SP.I.PARACH.DL.</t>
  </si>
  <si>
    <t>COT. 2926  |  568796  |  CHUBB SEGUROS ECUADOR SA  |  ABJ8238 (2021)  |  MMBJJKK10MH023736  |  AUTOSHARE - ORGU MACHALA  |  21/07/2026 12:50</t>
  </si>
  <si>
    <t>https://www.mitsubishipartsgiant.com/parts/mitsubishi-part~6407A337</t>
  </si>
  <si>
    <t>https://www.mitsubishipartsgiant.com/parts/mitsubishi-part~6407A336</t>
  </si>
  <si>
    <t>https://www.mitsubishipartsgiant.com/parts/mitsubishi-part~6407A335</t>
  </si>
  <si>
    <t>https://www.ebay.com/sch/6028/i.html?_nkw=6407A337&amp;LH_BIN=1&amp;LH_ItemCondition=1000&amp;LH_Shipped_to=US</t>
  </si>
  <si>
    <t>https://www.ebay.com/sch/6028/i.html?_nkw=6407A336&amp;LH_BIN=1&amp;LH_ItemCondition=1000&amp;LH_Shipped_to=US</t>
  </si>
  <si>
    <t>https://www.ebay.com/sch/6028/i.html?_nkw=6407A335&amp;LH_BIN=1&amp;LH_ItemCondition=1000&amp;LH_Shipped_to=US</t>
  </si>
  <si>
    <t>COT. 2926  |  568796  |  CHUBB SEGUROS ECUADOR SA  |  ABJ8238 (2021)  |  MMBJJKK10MH023736  |  AUTOSHARE - ORGU MACHALA  |  21/07/2026 15:06</t>
  </si>
  <si>
    <t>https://partsouq.com/en/search/all?q=6407A337</t>
  </si>
  <si>
    <t>https://partsouq.com/en/search/all?q=6407A336</t>
  </si>
  <si>
    <t>https://partsouq.com/en/search/all?q=6407A335</t>
  </si>
  <si>
    <t>80821 3SG0A</t>
  </si>
  <si>
    <t>CEPILLO EXT.VIDRIO I</t>
  </si>
  <si>
    <t>7007.11.00.00</t>
  </si>
  <si>
    <t>80501 3SG2A</t>
  </si>
  <si>
    <t>CERRAD.PUERTA DEL.I.</t>
  </si>
  <si>
    <t>96302 3SJ0D</t>
  </si>
  <si>
    <t>ESPEJO RETROV.EXT.I.</t>
  </si>
  <si>
    <t>7009.10.00.00</t>
  </si>
  <si>
    <t>F3101 3SGMA</t>
  </si>
  <si>
    <t>GUARDAFANGO DEL.I.</t>
  </si>
  <si>
    <t>63841 3SH0A</t>
  </si>
  <si>
    <t>GUARDAPOLVO DEL.I.</t>
  </si>
  <si>
    <t>4016.99.21.00</t>
  </si>
  <si>
    <t>80640 3SG0A</t>
  </si>
  <si>
    <t>MANILL.EXT.PUE.DL.I.</t>
  </si>
  <si>
    <t>8302.10.10.00</t>
  </si>
  <si>
    <t>H0101 3SGMA</t>
  </si>
  <si>
    <t>PUERTA DEL.I.</t>
  </si>
  <si>
    <t>H2101 3SGMA</t>
  </si>
  <si>
    <t>PUERTA TRA.I.</t>
  </si>
  <si>
    <t>80611 3SG0A</t>
  </si>
  <si>
    <t>SOP.INT.MANIL.DEL.I.</t>
  </si>
  <si>
    <t>6307.90.20.00</t>
  </si>
  <si>
    <t>260714143557168</t>
  </si>
  <si>
    <t>TAPACUBO DL LH</t>
  </si>
  <si>
    <t>https://www.ebay.com/sch/6028/i.html?_nkw=80821+3SG0A&amp;LH_BIN=1&amp;LH_ItemCondition=1000&amp;LH_Shipped_to=US</t>
  </si>
  <si>
    <t>https://www.ebay.com/sch/6028/i.html?_nkw=80501+3SG2A&amp;LH_BIN=1&amp;LH_ItemCondition=1000&amp;LH_Shipped_to=US</t>
  </si>
  <si>
    <t>https://www.ebay.com/sch/6028/i.html?_nkw=96302+3SJ0D&amp;LH_BIN=1&amp;LH_ItemCondition=1000&amp;LH_Shipped_to=US</t>
  </si>
  <si>
    <t>https://www.ebay.com/sch/6028/i.html?_nkw=F3101+3SGMA&amp;LH_BIN=1&amp;LH_ItemCondition=1000&amp;LH_Shipped_to=US</t>
  </si>
  <si>
    <t>https://www.ebay.com/sch/6028/i.html?_nkw=63841+3SH0A&amp;LH_BIN=1&amp;LH_ItemCondition=1000&amp;LH_Shipped_to=US</t>
  </si>
  <si>
    <t>https://www.ebay.com/sch/6028/i.html?_nkw=80640+3SG0A&amp;LH_BIN=1&amp;LH_ItemCondition=1000&amp;LH_Shipped_to=US</t>
  </si>
  <si>
    <t>https://www.ebay.com/sch/6028/i.html?_nkw=H0101+3SGMA&amp;LH_BIN=1&amp;LH_ItemCondition=1000&amp;LH_Shipped_to=US</t>
  </si>
  <si>
    <t>https://www.ebay.com/sch/6028/i.html?_nkw=H2101+3SGMA&amp;LH_BIN=1&amp;LH_ItemCondition=1000&amp;LH_Shipped_to=US</t>
  </si>
  <si>
    <t>https://www.ebay.com/sch/6028/i.html?_nkw=80611+3SG0A&amp;LH_BIN=1&amp;LH_ItemCondition=1000&amp;LH_Shipped_to=US</t>
  </si>
  <si>
    <t>https://www.ebay.com/sch/6028/i.html?_nkw=260714143557168&amp;LH_BIN=1&amp;LH_ItemCondition=1000&amp;LH_Shipped_to=US</t>
  </si>
  <si>
    <t>COT. 5742  |  GGSO5359  |  Latina Seguros  |  NISSAN  |  GSO5359 (2015)  |  3N1AB7AD0FL622248  |  SERVIPRONTO  |  21/07/2026 16:47</t>
  </si>
  <si>
    <t>https://www.nissanpartsdeal.com/parts/nissan-moulding-asmy-f~80821-3sg0a.html</t>
  </si>
  <si>
    <t>https://www.nissanpartsdeal.com/parts/nissan-lock-remote-con~80501-3sg2a.html</t>
  </si>
  <si>
    <t>https://www.nissanpartsdeal.com/</t>
  </si>
  <si>
    <t>https://www.nissanpartsdeal.com/parts/nissan-fender-front-lh~f3101-3sgma.html</t>
  </si>
  <si>
    <t>https://www.nissanpartsdeal.com/parts/nissan-protector-front~63841-3sh0a.html</t>
  </si>
  <si>
    <t>https://www.nissanpartsdeal.com/parts/nissan-grip-outside-ha~80640-3sg0a.html</t>
  </si>
  <si>
    <t>https://www.nissanpartsdeal.com/parts/nissan-door-asmy-front~h0101-3sgma.html</t>
  </si>
  <si>
    <t>https://www.nissanpartsdeal.com/parts/nissan-door-asmy-rear~h2101-3sgma.html</t>
  </si>
  <si>
    <t>https://www.nissanpartsdeal.com/parts/nissan-bracket-outside~80611-3sg0a.html</t>
  </si>
  <si>
    <t>COT. 39238  |  26-04-VH-7089590-DP  |  Zurich Seguros Ecuador SA  |  MITSUBISHI  |  PFP9393 (2026)  |  JMYXTGK2WTZ000240  |  HI SPEED FLUJO EXPRESS  |  21/07/2026 16:56</t>
  </si>
  <si>
    <t>FARO I.CPL.</t>
  </si>
  <si>
    <t>8479.90.00.00</t>
  </si>
  <si>
    <t>62022W370P</t>
  </si>
  <si>
    <t>6407A423</t>
  </si>
  <si>
    <t>PLAT.I.PARACH.DL.INF</t>
  </si>
  <si>
    <t>https://www.ebay.com/sch/6028/i.html?_nkw=26060W250P&amp;LH_BIN=1&amp;LH_ItemCondition=1000&amp;LH_Shipped_to=US</t>
  </si>
  <si>
    <t>https://www.ebay.com/sch/6028/i.html?_nkw=62022W370P&amp;LH_BIN=1&amp;LH_ItemCondition=1000&amp;LH_Shipped_to=US</t>
  </si>
  <si>
    <t>https://www.ebay.com/sch/6028/i.html?_nkw=6407A423&amp;LH_BIN=1&amp;LH_ItemCondition=1000&amp;LH_Shipped_to=US</t>
  </si>
  <si>
    <t>https://www.mitsubishipartsgiant.com/parts/mitsubishi-part~26060W250P</t>
  </si>
  <si>
    <t>https://partsouq.com/en/search/all?q=62022W370P</t>
  </si>
  <si>
    <t>https://partsouq.com/en/search/all?q=6407A423</t>
  </si>
  <si>
    <t>26060WA70P</t>
  </si>
  <si>
    <t>COT. 5745  |  GGSO5101  |  Latina Seguros  |  CITROEN  |  GSO5101 (2015)  |  VF77L9HECFJ512131  |  SERVIPRONTO  |  21/07/2026 17:05</t>
  </si>
  <si>
    <t>8717 C0</t>
  </si>
  <si>
    <t>BISAGRA TRA.INF.D.</t>
  </si>
  <si>
    <t>8717 C1</t>
  </si>
  <si>
    <t>BISAGRA TRA.SUP.D.</t>
  </si>
  <si>
    <t>260710123934534</t>
  </si>
  <si>
    <t>CHAPA CENT COMPTA LH</t>
  </si>
  <si>
    <t>260710123934518</t>
  </si>
  <si>
    <t>CHAPA INF COMPTA RH</t>
  </si>
  <si>
    <t>260710123934566</t>
  </si>
  <si>
    <t>EMBLEMA DL 2 PTS NIQ</t>
  </si>
  <si>
    <t>6208 K6</t>
  </si>
  <si>
    <t>FARO I.</t>
  </si>
  <si>
    <t>16 781 832 80</t>
  </si>
  <si>
    <t>GOM.PUERTA CORR.TRA.</t>
  </si>
  <si>
    <t>8731 R2</t>
  </si>
  <si>
    <t>LIMIT.APER.PUER.TR.D</t>
  </si>
  <si>
    <t>260710123934478</t>
  </si>
  <si>
    <t>MOLD INF GDACH TR RH</t>
  </si>
  <si>
    <t>260710123934550</t>
  </si>
  <si>
    <t>NIQUELADO GDACH DL</t>
  </si>
  <si>
    <t>16 135 635 80</t>
  </si>
  <si>
    <t>16 800 238 XT</t>
  </si>
  <si>
    <t>PARACHOQUES TR.D.</t>
  </si>
  <si>
    <t>7410 GE</t>
  </si>
  <si>
    <t>PARACHOQUES TRA.</t>
  </si>
  <si>
    <t>98 204 367 80</t>
  </si>
  <si>
    <t>PUER.DOBLE HOJA TR.D</t>
  </si>
  <si>
    <t>16 800 259 XT</t>
  </si>
  <si>
    <t>REJILLA PARACHOQ.DL.</t>
  </si>
  <si>
    <t>16 800 228 80</t>
  </si>
  <si>
    <t>STOP TRA.D.</t>
  </si>
  <si>
    <t>7414 ZH</t>
  </si>
  <si>
    <t>TAPA PARACHOQUES TR.</t>
  </si>
  <si>
    <t>7315.12.00.10</t>
  </si>
  <si>
    <t>7414 ZF</t>
  </si>
  <si>
    <t>VIGA PARACHOQUES TR.</t>
  </si>
  <si>
    <t>260710123934501</t>
  </si>
  <si>
    <t>VINCHA RH GDACH TR</t>
  </si>
  <si>
    <t>https://www.ebay.com/sch/6028/i.html?_nkw=8717+C0&amp;LH_BIN=1&amp;LH_ItemCondition=1000&amp;LH_Shipped_to=US</t>
  </si>
  <si>
    <t>https://www.ebay.com/sch/6028/i.html?_nkw=8717+C1&amp;LH_BIN=1&amp;LH_ItemCondition=1000&amp;LH_Shipped_to=US</t>
  </si>
  <si>
    <t>https://www.ebay.com/sch/6028/i.html?_nkw=260710123934534&amp;LH_BIN=1&amp;LH_ItemCondition=1000&amp;LH_Shipped_to=US</t>
  </si>
  <si>
    <t>https://www.ebay.com/sch/6028/i.html?_nkw=260710123934518&amp;LH_BIN=1&amp;LH_ItemCondition=1000&amp;LH_Shipped_to=US</t>
  </si>
  <si>
    <t>https://www.ebay.com/sch/6028/i.html?_nkw=260710123934566&amp;LH_BIN=1&amp;LH_ItemCondition=1000&amp;LH_Shipped_to=US</t>
  </si>
  <si>
    <t>https://www.ebay.com/sch/6028/i.html?_nkw=6208+K6&amp;LH_BIN=1&amp;LH_ItemCondition=1000&amp;LH_Shipped_to=US</t>
  </si>
  <si>
    <t>https://www.ebay.com/sch/6028/i.html?_nkw=16+781+832+80&amp;LH_BIN=1&amp;LH_ItemCondition=1000&amp;LH_Shipped_to=US</t>
  </si>
  <si>
    <t>https://www.ebay.com/sch/6028/i.html?_nkw=8731+R2&amp;LH_BIN=1&amp;LH_ItemCondition=1000&amp;LH_Shipped_to=US</t>
  </si>
  <si>
    <t>https://www.ebay.com/sch/6028/i.html?_nkw=260710123934478&amp;LH_BIN=1&amp;LH_ItemCondition=1000&amp;LH_Shipped_to=US</t>
  </si>
  <si>
    <t>https://www.ebay.com/sch/6028/i.html?_nkw=260710123934550&amp;LH_BIN=1&amp;LH_ItemCondition=1000&amp;LH_Shipped_to=US</t>
  </si>
  <si>
    <t>https://www.ebay.com/sch/6028/i.html?_nkw=16+135+635+80&amp;LH_BIN=1&amp;LH_ItemCondition=1000&amp;LH_Shipped_to=US</t>
  </si>
  <si>
    <t>https://www.ebay.com/sch/6028/i.html?_nkw=16+800+238+XT&amp;LH_BIN=1&amp;LH_ItemCondition=1000&amp;LH_Shipped_to=US</t>
  </si>
  <si>
    <t>https://www.ebay.com/sch/6028/i.html?_nkw=7410+GE&amp;LH_BIN=1&amp;LH_ItemCondition=1000&amp;LH_Shipped_to=US</t>
  </si>
  <si>
    <t>https://www.ebay.com/sch/6028/i.html?_nkw=98+204+367+80&amp;LH_BIN=1&amp;LH_ItemCondition=1000&amp;LH_Shipped_to=US</t>
  </si>
  <si>
    <t>https://www.ebay.com/sch/6028/i.html?_nkw=16+800+259+XT&amp;LH_BIN=1&amp;LH_ItemCondition=1000&amp;LH_Shipped_to=US</t>
  </si>
  <si>
    <t>https://www.ebay.com/sch/6028/i.html?_nkw=16+800+228+80&amp;LH_BIN=1&amp;LH_ItemCondition=1000&amp;LH_Shipped_to=US</t>
  </si>
  <si>
    <t>https://www.ebay.com/sch/6028/i.html?_nkw=7414+ZH&amp;LH_BIN=1&amp;LH_ItemCondition=1000&amp;LH_Shipped_to=US</t>
  </si>
  <si>
    <t>https://www.ebay.com/sch/6028/i.html?_nkw=7414+ZF&amp;LH_BIN=1&amp;LH_ItemCondition=1000&amp;LH_Shipped_to=US</t>
  </si>
  <si>
    <t>https://www.ebay.com/sch/6028/i.html?_nkw=260710123934501&amp;LH_BIN=1&amp;LH_ItemCondition=1000&amp;LH_Shipped_to=US</t>
  </si>
  <si>
    <t>COT. 5763  |  PDF3904DP  |  Latina Seguros  |  VW  |  PDF3904 (2018)  |  8L7ZZZ2HZJ1000633  |  TECNIMOTORS INGENIERIA AUTOMOTRIZ  |  23/07/2026 06:52</t>
  </si>
  <si>
    <t>2H6 823 033 D  GRU</t>
  </si>
  <si>
    <t>CAPO</t>
  </si>
  <si>
    <t>2H6 807 094 B</t>
  </si>
  <si>
    <t>CIERRE PARACHOQ.DEL.</t>
  </si>
  <si>
    <t>2H0 820 411 D</t>
  </si>
  <si>
    <t>CONDENSADOR AIRE AC.</t>
  </si>
  <si>
    <t>8415.20.00.00</t>
  </si>
  <si>
    <t>260715102828658</t>
  </si>
  <si>
    <t>DEFELECTOR AIRE RH</t>
  </si>
  <si>
    <t>260715102828674</t>
  </si>
  <si>
    <t>DEFLECTOR AIRE LH</t>
  </si>
  <si>
    <t>2H6 853 601 A  DPJ</t>
  </si>
  <si>
    <t>EMBLEMA FABRIC.DEL.</t>
  </si>
  <si>
    <t>2H6 941 700 B</t>
  </si>
  <si>
    <t>FARO ANTINIEBLA DL.D</t>
  </si>
  <si>
    <t>2H1 941 016 AB</t>
  </si>
  <si>
    <t>FARO D.CPL.</t>
  </si>
  <si>
    <t>2H1 941 015 AB</t>
  </si>
  <si>
    <t>2H6 807 184 A</t>
  </si>
  <si>
    <t>GUIA D.PARACHOQU.DL.</t>
  </si>
  <si>
    <t>2H6 807 217 A  GRU</t>
  </si>
  <si>
    <t>260715102828627</t>
  </si>
  <si>
    <t>PITO ALTA</t>
  </si>
  <si>
    <t>8301.XX.XX.XX</t>
  </si>
  <si>
    <t>260715102828642</t>
  </si>
  <si>
    <t>PITO BAJA</t>
  </si>
  <si>
    <t>260715102828722</t>
  </si>
  <si>
    <t>REFRIGERANTE</t>
  </si>
  <si>
    <t>2H6 807 490 E  9B9</t>
  </si>
  <si>
    <t>REJ.FARO ANTINIEB.D.</t>
  </si>
  <si>
    <t>2H6 853 677    9B9</t>
  </si>
  <si>
    <t>REJILLA AIRE DEL.CEN</t>
  </si>
  <si>
    <t>COT. 30072026orgu  |    |  orgu  |  ford  |   ()  |    |    |  30/07/2026 08:34</t>
  </si>
  <si>
    <t>BB5Z7820530A</t>
  </si>
  <si>
    <t>BB5Z7820531A</t>
  </si>
  <si>
    <t>BB5Z7825325A</t>
  </si>
  <si>
    <t>CAUCHO PUERTA DELT RH EXPL 2010/</t>
  </si>
  <si>
    <t>CAUCHO PUERTA DELT LH EXPL 2010/</t>
  </si>
  <si>
    <t>CAUCHO EXT PUERTA POST LH EXPL. 2011/</t>
  </si>
  <si>
    <t>https://www.ebay.com/sch/6028/i.html?_nkw=BB5Z7820530A&amp;LH_BIN=1&amp;LH_ItemCondition=1000&amp;LH_Shipped_to=US</t>
  </si>
  <si>
    <t>https://www.ebay.com/sch/6028/i.html?_nkw=BB5Z7820531A&amp;LH_BIN=1&amp;LH_ItemCondition=1000&amp;LH_Shipped_to=US</t>
  </si>
  <si>
    <t>https://www.ebay.com/sch/6028/i.html?_nkw=BB5Z7825325A&amp;LH_BIN=1&amp;LH_ItemCondition=1000&amp;LH_Shipped_to=US</t>
  </si>
  <si>
    <t>https://www.fordpartsgiant.com/parts/ford-weatherstrip_bb5z-7820530-a.html</t>
  </si>
  <si>
    <t>https://www.fordpartsgiant.com/parts/ford-weatherstrip-asy-d_bb5z-7820531-a.html</t>
  </si>
  <si>
    <t>https://www.fordpartsgiant.com/parts/ford-weatherstrip_bb5z-7825325-a.html</t>
  </si>
  <si>
    <t>COT. 30072026orgu2  |    |    |  ford  |   ()  |    |  ford  |  30/07/2026 08:42</t>
  </si>
  <si>
    <t>LB5Z7820555E</t>
  </si>
  <si>
    <t>LB5Z7825557BB</t>
  </si>
  <si>
    <t>MOLDURA EXT PUERTA POST LH EXPL 2023</t>
  </si>
  <si>
    <t>MOLDURA PILAR PUERTA DELT LH EXPL 2020</t>
  </si>
  <si>
    <t>https://www.ebay.com/sch/6028/i.html?_nkw=LB5Z7825557BB&amp;LH_BIN=1&amp;LH_ItemCondition=1000&amp;LH_Shipped_to=US</t>
  </si>
  <si>
    <t>https://www.ebay.com/sch/6028/i.html?_nkw=LB5Z7820555E&amp;LH_BIN=1&amp;LH_ItemCondition=1000&amp;LH_Shipped_to=US</t>
  </si>
  <si>
    <t>https://www.fordpartsgiant.com/parts/ford-moulding-door-outside_lb5z-7825557-bb.html</t>
  </si>
  <si>
    <t>https://www.fordpartsgiant.com/parts/ford-moulding-door-outside_lb5z-7820555-e.html</t>
  </si>
  <si>
    <t>LB5Z7820879BC</t>
  </si>
  <si>
    <t>MOLDURA EXT PUERTA DELTT LH EXPL 2020</t>
  </si>
  <si>
    <t>COT. 5852  |  2262662  |  Latina Seguros  |  CITROEN  |  XEA2583 (2019)  |  VF7YDZMFCK2J44686  |  COMPUAUTO LOJA  |  30/07/2026 10:04</t>
  </si>
  <si>
    <t>BISAGRA D.CAPO</t>
  </si>
  <si>
    <t>8302.30.00.00</t>
  </si>
  <si>
    <t>BISAGRA I.CAPO</t>
  </si>
  <si>
    <t>CAJA FUSIBLES</t>
  </si>
  <si>
    <t>8536.10.10.00</t>
  </si>
  <si>
    <t>CERRADURA CAPO</t>
  </si>
  <si>
    <t>CONDENS.AIRE ACONDIC</t>
  </si>
  <si>
    <t>DEPURADOR</t>
  </si>
  <si>
    <t>8421.31.00.00</t>
  </si>
  <si>
    <t>ELECTROVENTILADOR</t>
  </si>
  <si>
    <t>ELEVADOR VOLTAJE</t>
  </si>
  <si>
    <t>FARO D.</t>
  </si>
  <si>
    <t>FILTRO DE AIRE</t>
  </si>
  <si>
    <t>GUARDAFANGO DEL.D.</t>
  </si>
  <si>
    <t>GUARDAPOLVO DEL.D.</t>
  </si>
  <si>
    <t>INTERCOOLER</t>
  </si>
  <si>
    <t>8415.83.90.00</t>
  </si>
  <si>
    <t>MOLDR PARACHQ DEL LH</t>
  </si>
  <si>
    <t>MOLDR PARACHQ DEL RH</t>
  </si>
  <si>
    <t>MOLDURA GUDFNG RH</t>
  </si>
  <si>
    <t>8708.29.30.00</t>
  </si>
  <si>
    <t>RADIADOR</t>
  </si>
  <si>
    <t>3917.39.90.00</t>
  </si>
  <si>
    <t>SOP.D.PARACHOQ.DEL.</t>
  </si>
  <si>
    <t>SOP.I.PARACHOQ.DEL.</t>
  </si>
  <si>
    <t>8708.99.29.00</t>
  </si>
  <si>
    <t>TAPA PARACHOQU.DEL.</t>
  </si>
  <si>
    <t>VIGA.PARACHOQUES DEL</t>
  </si>
  <si>
    <t>16 126 847 80</t>
  </si>
  <si>
    <t>16 126 846 80</t>
  </si>
  <si>
    <t>16 171 296 80</t>
  </si>
  <si>
    <t>16 122 469 80</t>
  </si>
  <si>
    <t>16 116 504 80</t>
  </si>
  <si>
    <t xml:space="preserve">
16 497 891 80</t>
  </si>
  <si>
    <t>1420 S8</t>
  </si>
  <si>
    <t>1250 J0</t>
  </si>
  <si>
    <t>1267 J7</t>
  </si>
  <si>
    <t>16 120 409 80</t>
  </si>
  <si>
    <t xml:space="preserve">
16 319 980 80</t>
  </si>
  <si>
    <t>1444 SQ</t>
  </si>
  <si>
    <t>16 116 550 80</t>
  </si>
  <si>
    <t xml:space="preserve">
16 116 548 80</t>
  </si>
  <si>
    <t>16 173 006 80</t>
  </si>
  <si>
    <t>16 372 943 80</t>
  </si>
  <si>
    <t>16 372 944 80</t>
  </si>
  <si>
    <t xml:space="preserve">
7120 PV</t>
  </si>
  <si>
    <t xml:space="preserve">
16 121 795 80</t>
  </si>
  <si>
    <t xml:space="preserve">
16 372 939 80</t>
  </si>
  <si>
    <t>MOLDURAS CROMADAS DE MASCARILLA x2</t>
  </si>
  <si>
    <t>PARACHOQUES DEL. X2</t>
  </si>
  <si>
    <t>16 132 567 80</t>
  </si>
  <si>
    <t>16 169 502 80</t>
  </si>
  <si>
    <t xml:space="preserve">
16 125 220 80</t>
  </si>
  <si>
    <t>16 125 219 80</t>
  </si>
  <si>
    <t>16 372 936 80</t>
  </si>
  <si>
    <t>16 373 125 80</t>
  </si>
  <si>
    <t>https://www.ebay.com/sch/6028/i.html?_nkw=16+126+847+80&amp;LH_BIN=1&amp;LH_ItemCondition=1000&amp;LH_Shipped_to=US</t>
  </si>
  <si>
    <t>https://www.ebay.com/sch/6028/i.html?_nkw=16+126+846+80&amp;LH_BIN=1&amp;LH_ItemCondition=1000&amp;LH_Shipped_to=US</t>
  </si>
  <si>
    <t>https://www.ebay.com/sch/6028/i.html?_nkw=16+171+296+80&amp;LH_BIN=1&amp;LH_ItemCondition=1000&amp;LH_Shipped_to=US</t>
  </si>
  <si>
    <t>https://www.ebay.com/sch/6028/i.html?_nkw=16+122+469+80&amp;LH_BIN=1&amp;LH_ItemCondition=1000&amp;LH_Shipped_to=US</t>
  </si>
  <si>
    <t>https://www.ebay.com/sch/6028/i.html?_nkw=16+116+504+80&amp;LH_BIN=1&amp;LH_ItemCondition=1000&amp;LH_Shipped_to=US</t>
  </si>
  <si>
    <t>https://www.ebay.com/sch/6028/i.html?_nkw=16+497+891+80&amp;LH_BIN=1&amp;LH_ItemCondition=1000&amp;LH_Shipped_to=US</t>
  </si>
  <si>
    <t>https://www.ebay.com/sch/6028/i.html?_nkw=1420+S8&amp;LH_BIN=1&amp;LH_ItemCondition=1000&amp;LH_Shipped_to=US</t>
  </si>
  <si>
    <t>https://www.ebay.com/sch/6028/i.html?_nkw=1250+J0&amp;LH_BIN=1&amp;LH_ItemCondition=1000&amp;LH_Shipped_to=US</t>
  </si>
  <si>
    <t>https://www.ebay.com/sch/6028/i.html?_nkw=1267+J7&amp;LH_BIN=1&amp;LH_ItemCondition=1000&amp;LH_Shipped_to=US</t>
  </si>
  <si>
    <t>https://www.ebay.com/sch/6028/i.html?_nkw=16+120+409+80&amp;LH_BIN=1&amp;LH_ItemCondition=1000&amp;LH_Shipped_to=US</t>
  </si>
  <si>
    <t>https://www.ebay.com/sch/6028/i.html?_nkw=16+319+980+80&amp;LH_BIN=1&amp;LH_ItemCondition=1000&amp;LH_Shipped_to=US</t>
  </si>
  <si>
    <t>https://www.ebay.com/sch/6028/i.html?_nkw=1444+SQ&amp;LH_BIN=1&amp;LH_ItemCondition=1000&amp;LH_Shipped_to=US</t>
  </si>
  <si>
    <t>https://www.ebay.com/sch/6028/i.html?_nkw=16+116+550+80&amp;LH_BIN=1&amp;LH_ItemCondition=1000&amp;LH_Shipped_to=US</t>
  </si>
  <si>
    <t>https://www.ebay.com/sch/6028/i.html?_nkw=16+116+548+80&amp;LH_BIN=1&amp;LH_ItemCondition=1000&amp;LH_Shipped_to=US</t>
  </si>
  <si>
    <t>https://www.ebay.com/sch/6028/i.html?_nkw=16+173+006+80&amp;LH_BIN=1&amp;LH_ItemCondition=1000&amp;LH_Shipped_to=US</t>
  </si>
  <si>
    <t>https://www.ebay.com/sch/6028/i.html?_nkw=16+372+943+80&amp;LH_BIN=1&amp;LH_ItemCondition=1000&amp;LH_Shipped_to=US</t>
  </si>
  <si>
    <t>https://www.ebay.com/sch/6028/i.html?_nkw=16+372+944+80&amp;LH_BIN=1&amp;LH_ItemCondition=1000&amp;LH_Shipped_to=US</t>
  </si>
  <si>
    <t>https://www.ebay.com/sch/6028/i.html?_nkw=7120+PV&amp;LH_BIN=1&amp;LH_ItemCondition=1000&amp;LH_Shipped_to=US</t>
  </si>
  <si>
    <t>https://www.ebay.com/sch/6028/i.html?_nkw=16+121+795+80&amp;LH_BIN=1&amp;LH_ItemCondition=1000&amp;LH_Shipped_to=US</t>
  </si>
  <si>
    <t>https://www.ebay.com/sch/6028/i.html?_nkw=16+372+939+80&amp;LH_BIN=1&amp;LH_ItemCondition=1000&amp;LH_Shipped_to=US</t>
  </si>
  <si>
    <t>https://www.ebay.com/sch/6028/i.html?_nkw=16+132+567+80&amp;LH_BIN=1&amp;LH_ItemCondition=1000&amp;LH_Shipped_to=US</t>
  </si>
  <si>
    <t>https://www.ebay.com/sch/6028/i.html?_nkw=16+169+502+80&amp;LH_BIN=1&amp;LH_ItemCondition=1000&amp;LH_Shipped_to=US</t>
  </si>
  <si>
    <t>https://www.ebay.com/sch/6028/i.html?_nkw=16+125+220+80&amp;LH_BIN=1&amp;LH_ItemCondition=1000&amp;LH_Shipped_to=US</t>
  </si>
  <si>
    <t>https://www.ebay.com/sch/6028/i.html?_nkw=16+125+219+80&amp;LH_BIN=1&amp;LH_ItemCondition=1000&amp;LH_Shipped_to=US</t>
  </si>
  <si>
    <t>https://www.ebay.com/sch/6028/i.html?_nkw=16+372+936+80&amp;LH_BIN=1&amp;LH_ItemCondition=1000&amp;LH_Shipped_to=US</t>
  </si>
  <si>
    <t>https://www.ebay.com/sch/6028/i.html?_nkw=16+373+125+80&amp;LH_BIN=1&amp;LH_ItemCondition=1000&amp;LH_Shipped_to=US</t>
  </si>
  <si>
    <t>COT. 30072027zurich  |  26-02-VH-7089501  |  zurich  |  Skoda  |  GSB7739 (2011)  |  TMBCS41Z8B2043911  |  n/a  |  30/07/2026 11:16</t>
  </si>
  <si>
    <t>1Z1 941 018 S</t>
  </si>
  <si>
    <t>FARO CPL D</t>
  </si>
  <si>
    <t>1Z1 941 017 S</t>
  </si>
  <si>
    <t>FARO CPL I</t>
  </si>
  <si>
    <t>1Z0 941 6134</t>
  </si>
  <si>
    <t>REF FARO D</t>
  </si>
  <si>
    <t>1Z0 941 613</t>
  </si>
  <si>
    <t>REF FARO I</t>
  </si>
  <si>
    <t>1Z0 941 068</t>
  </si>
  <si>
    <t>FARO ANTINIEBLA DL D</t>
  </si>
  <si>
    <t>1Z0 941 067</t>
  </si>
  <si>
    <t>FARO ANTINIEBLA DL I</t>
  </si>
  <si>
    <t>1Z0 821 106 C</t>
  </si>
  <si>
    <t>GUARDAFANGO DL D</t>
  </si>
  <si>
    <t>1Z5 945 112 B</t>
  </si>
  <si>
    <t>STOP TRA D</t>
  </si>
  <si>
    <t>STOP TRA I</t>
  </si>
  <si>
    <t>COT. 39415  |  26-01-VH-7089790-DP  |  Zurich Seguros Ecuador SA  |  TOYOTA  |  PDU3053 (2020)  |  JTMRW3FV10D074806  |  1001TALLERES FLUJO EXPRESS  |  30/07/2026 12:07</t>
  </si>
  <si>
    <t>ABSOR.IMPACT.PARACH.</t>
  </si>
  <si>
    <t>ABSORB.IMPACTO DEL.</t>
  </si>
  <si>
    <t>AISLANTE DEL.MOTOR</t>
  </si>
  <si>
    <t>AISLANTE MOTOR</t>
  </si>
  <si>
    <t>8409.91.30.00</t>
  </si>
  <si>
    <t>ALERON PARACHOQ.DEL.</t>
  </si>
  <si>
    <t>EMBLEMA "4WD"</t>
  </si>
  <si>
    <t>EMBLEMA MODELO</t>
  </si>
  <si>
    <t>EMBLEMA MOTOR</t>
  </si>
  <si>
    <t>PARACHOQUES TRA.I.</t>
  </si>
  <si>
    <t>PARRILLA INF.</t>
  </si>
  <si>
    <t>PLATIN.CEN.TAP.MALET</t>
  </si>
  <si>
    <t>PLATINA TAPA MALETA</t>
  </si>
  <si>
    <t>PUENTE DEL.</t>
  </si>
  <si>
    <t>REC.INF.PARACHOQ.TR.</t>
  </si>
  <si>
    <t>REF.INF.PARACHOQ.DL.</t>
  </si>
  <si>
    <t>REFLEC.I.PARACHO.TR.</t>
  </si>
  <si>
    <t>SENS.TR.CEN.I.ESTAC.</t>
  </si>
  <si>
    <t>SOP.EXT.D.PARACH.TR.</t>
  </si>
  <si>
    <t>SOP.EXT.I.PARACH.TR.</t>
  </si>
  <si>
    <t>SOP.SUJECION I.</t>
  </si>
  <si>
    <t>STOP TRA.EXT.D.CPL.</t>
  </si>
  <si>
    <t>STOP TRA.EXT.I.CPL.</t>
  </si>
  <si>
    <t>TAP.INF.GUARD.TRA.I.</t>
  </si>
  <si>
    <t>TAPA MALETA</t>
  </si>
  <si>
    <t>TAPIC.I.PISO MALETA</t>
  </si>
  <si>
    <t>4016.91.00.00</t>
  </si>
  <si>
    <t>TAPICE.CART.MALETA</t>
  </si>
  <si>
    <t>8409.91.80.00</t>
  </si>
  <si>
    <t>TAPICE.I.TAPA MALETA</t>
  </si>
  <si>
    <t>TAPICE.PARACHOQ.INF.</t>
  </si>
  <si>
    <t>5261842060</t>
  </si>
  <si>
    <t>5261442120</t>
  </si>
  <si>
    <t>5144142200</t>
  </si>
  <si>
    <t>5142042031</t>
  </si>
  <si>
    <t>5271142140B0</t>
  </si>
  <si>
    <t>7544442210</t>
  </si>
  <si>
    <t>7543142180</t>
  </si>
  <si>
    <t>7544542060</t>
  </si>
  <si>
    <t>521194A920</t>
  </si>
  <si>
    <t>5215942939</t>
  </si>
  <si>
    <t>5216242944</t>
  </si>
  <si>
    <t>5311342121</t>
  </si>
  <si>
    <t>7680142908</t>
  </si>
  <si>
    <t>7680242140</t>
  </si>
  <si>
    <t>5110030880</t>
  </si>
  <si>
    <t>5245342040B0</t>
  </si>
  <si>
    <t>5213242070</t>
  </si>
  <si>
    <t>8192048012</t>
  </si>
  <si>
    <t>8934160060C3</t>
  </si>
  <si>
    <t>5215542050</t>
  </si>
  <si>
    <t>5215642050</t>
  </si>
  <si>
    <t>7586768010</t>
  </si>
  <si>
    <t>9018906242</t>
  </si>
  <si>
    <t>8155142230</t>
  </si>
  <si>
    <t>8156142230</t>
  </si>
  <si>
    <t>6474042141C0</t>
  </si>
  <si>
    <t>6700542650</t>
  </si>
  <si>
    <t>5841742070C0</t>
  </si>
  <si>
    <t>5838742130C0</t>
  </si>
  <si>
    <t>6793842070C0</t>
  </si>
  <si>
    <t>5241142110</t>
  </si>
  <si>
    <t>5202342060</t>
  </si>
  <si>
    <t>https://www.ebay.com/sch/6028/i.html?_nkw=5261842060&amp;LH_BIN=1&amp;LH_ItemCondition=1000&amp;LH_Shipped_to=US</t>
  </si>
  <si>
    <t>https://www.ebay.com/sch/6028/i.html?_nkw=5261442120&amp;LH_BIN=1&amp;LH_ItemCondition=1000&amp;LH_Shipped_to=US</t>
  </si>
  <si>
    <t>https://www.ebay.com/sch/6028/i.html?_nkw=5144142200&amp;LH_BIN=1&amp;LH_ItemCondition=1000&amp;LH_Shipped_to=US</t>
  </si>
  <si>
    <t>https://www.ebay.com/sch/6028/i.html?_nkw=5142042031&amp;LH_BIN=1&amp;LH_ItemCondition=1000&amp;LH_Shipped_to=US</t>
  </si>
  <si>
    <t>https://www.ebay.com/sch/6028/i.html?_nkw=5271142140B0&amp;LH_BIN=1&amp;LH_ItemCondition=1000&amp;LH_Shipped_to=US</t>
  </si>
  <si>
    <t>https://www.ebay.com/sch/6028/i.html?_nkw=7544442210&amp;LH_BIN=1&amp;LH_ItemCondition=1000&amp;LH_Shipped_to=US</t>
  </si>
  <si>
    <t>https://www.ebay.com/sch/6028/i.html?_nkw=7543142180&amp;LH_BIN=1&amp;LH_ItemCondition=1000&amp;LH_Shipped_to=US</t>
  </si>
  <si>
    <t>https://www.ebay.com/sch/6028/i.html?_nkw=7544542060&amp;LH_BIN=1&amp;LH_ItemCondition=1000&amp;LH_Shipped_to=US</t>
  </si>
  <si>
    <t>https://www.ebay.com/sch/6028/i.html?_nkw=521194A920&amp;LH_BIN=1&amp;LH_ItemCondition=1000&amp;LH_Shipped_to=US</t>
  </si>
  <si>
    <t>https://www.ebay.com/sch/6028/i.html?_nkw=5215942939&amp;LH_BIN=1&amp;LH_ItemCondition=1000&amp;LH_Shipped_to=US</t>
  </si>
  <si>
    <t>https://www.ebay.com/sch/6028/i.html?_nkw=5216242944&amp;LH_BIN=1&amp;LH_ItemCondition=1000&amp;LH_Shipped_to=US</t>
  </si>
  <si>
    <t>https://www.ebay.com/sch/6028/i.html?_nkw=5311342121&amp;LH_BIN=1&amp;LH_ItemCondition=1000&amp;LH_Shipped_to=US</t>
  </si>
  <si>
    <t>https://www.ebay.com/sch/6028/i.html?_nkw=7680142908&amp;LH_BIN=1&amp;LH_ItemCondition=1000&amp;LH_Shipped_to=US</t>
  </si>
  <si>
    <t>https://www.ebay.com/sch/6028/i.html?_nkw=7680242140&amp;LH_BIN=1&amp;LH_ItemCondition=1000&amp;LH_Shipped_to=US</t>
  </si>
  <si>
    <t>https://www.ebay.com/sch/6028/i.html?_nkw=5110030880&amp;LH_BIN=1&amp;LH_ItemCondition=1000&amp;LH_Shipped_to=US</t>
  </si>
  <si>
    <t>https://www.ebay.com/sch/6028/i.html?_nkw=5245342040B0&amp;LH_BIN=1&amp;LH_ItemCondition=1000&amp;LH_Shipped_to=US</t>
  </si>
  <si>
    <t>https://www.ebay.com/sch/6028/i.html?_nkw=5213242070&amp;LH_BIN=1&amp;LH_ItemCondition=1000&amp;LH_Shipped_to=US</t>
  </si>
  <si>
    <t>https://www.ebay.com/sch/6028/i.html?_nkw=8192048012&amp;LH_BIN=1&amp;LH_ItemCondition=1000&amp;LH_Shipped_to=US</t>
  </si>
  <si>
    <t>https://www.ebay.com/sch/6028/i.html?_nkw=8934160060C3&amp;LH_BIN=1&amp;LH_ItemCondition=1000&amp;LH_Shipped_to=US</t>
  </si>
  <si>
    <t>https://www.ebay.com/sch/6028/i.html?_nkw=5215542050&amp;LH_BIN=1&amp;LH_ItemCondition=1000&amp;LH_Shipped_to=US</t>
  </si>
  <si>
    <t>https://www.ebay.com/sch/6028/i.html?_nkw=5215642050&amp;LH_BIN=1&amp;LH_ItemCondition=1000&amp;LH_Shipped_to=US</t>
  </si>
  <si>
    <t>https://www.ebay.com/sch/6028/i.html?_nkw=7586768010&amp;LH_BIN=1&amp;LH_ItemCondition=1000&amp;LH_Shipped_to=US</t>
  </si>
  <si>
    <t>https://www.ebay.com/sch/6028/i.html?_nkw=9018906242&amp;LH_BIN=1&amp;LH_ItemCondition=1000&amp;LH_Shipped_to=US</t>
  </si>
  <si>
    <t>https://www.ebay.com/sch/6028/i.html?_nkw=8155142230&amp;LH_BIN=1&amp;LH_ItemCondition=1000&amp;LH_Shipped_to=US</t>
  </si>
  <si>
    <t>https://www.ebay.com/sch/6028/i.html?_nkw=8156142230&amp;LH_BIN=1&amp;LH_ItemCondition=1000&amp;LH_Shipped_to=US</t>
  </si>
  <si>
    <t>https://www.ebay.com/sch/6028/i.html?_nkw=6474042141C0&amp;LH_BIN=1&amp;LH_ItemCondition=1000&amp;LH_Shipped_to=US</t>
  </si>
  <si>
    <t>https://www.ebay.com/sch/6028/i.html?_nkw=6700542650&amp;LH_BIN=1&amp;LH_ItemCondition=1000&amp;LH_Shipped_to=US</t>
  </si>
  <si>
    <t>https://www.ebay.com/sch/6028/i.html?_nkw=5841742070C0&amp;LH_BIN=1&amp;LH_ItemCondition=1000&amp;LH_Shipped_to=US</t>
  </si>
  <si>
    <t>https://www.ebay.com/sch/6028/i.html?_nkw=5838742130C0&amp;LH_BIN=1&amp;LH_ItemCondition=1000&amp;LH_Shipped_to=US</t>
  </si>
  <si>
    <t>https://www.ebay.com/sch/6028/i.html?_nkw=6793842070C0&amp;LH_BIN=1&amp;LH_ItemCondition=1000&amp;LH_Shipped_to=US</t>
  </si>
  <si>
    <t>https://www.ebay.com/sch/6028/i.html?_nkw=5241142110&amp;LH_BIN=1&amp;LH_ItemCondition=1000&amp;LH_Shipped_to=US</t>
  </si>
  <si>
    <t>https://www.ebay.com/sch/6028/i.html?_nkw=5202342060&amp;LH_BIN=1&amp;LH_ItemCondition=1000&amp;LH_Shipped_to=US</t>
  </si>
  <si>
    <t>https://www.toyotapartsdeal.com/parts/toyota-part~5261842060.html</t>
  </si>
  <si>
    <t>https://www.toyotapartsdeal.com/parts/toyota-part~5261442120.html</t>
  </si>
  <si>
    <t>https://www.toyotapartsdeal.com/parts/toyota-part~5144142200.html</t>
  </si>
  <si>
    <t>https://www.toyotapartsdeal.com/parts/toyota-part~5142042031.html</t>
  </si>
  <si>
    <t>https://www.toyotapartsdeal.com/parts/toyota-part~5271142140B0.html</t>
  </si>
  <si>
    <t>https://www.toyotapartsdeal.com/parts/toyota-part~7544442210.html</t>
  </si>
  <si>
    <t>https://www.toyotapartsdeal.com/parts/toyota-part~7543142180.html</t>
  </si>
  <si>
    <t>https://www.toyotapartsdeal.com/parts/toyota-part~7544542060.html</t>
  </si>
  <si>
    <t>https://www.toyotapartsdeal.com/parts/toyota-part~521194A920.html</t>
  </si>
  <si>
    <t>https://www.toyotapartsdeal.com/parts/toyota-part~5215942939.html</t>
  </si>
  <si>
    <t>https://www.toyotapartsdeal.com/parts/toyota-part~5216242944.html</t>
  </si>
  <si>
    <t>https://www.toyotapartsdeal.com/parts/toyota-part~5311342121.html</t>
  </si>
  <si>
    <t>https://www.toyotapartsdeal.com/parts/toyota-part~7680142908.html</t>
  </si>
  <si>
    <t>https://www.toyotapartsdeal.com/parts/toyota-part~7680242140.html</t>
  </si>
  <si>
    <t>https://www.toyotapartsdeal.com/parts/toyota-part~5110030880.html</t>
  </si>
  <si>
    <t>https://www.toyotapartsdeal.com/parts/toyota-part~5245342040B0.html</t>
  </si>
  <si>
    <t>https://www.toyotapartsdeal.com/parts/toyota-part~5213242070.html</t>
  </si>
  <si>
    <t>https://www.toyotapartsdeal.com/parts/toyota-part~8192048012.html</t>
  </si>
  <si>
    <t>https://www.toyotapartsdeal.com/parts/toyota-part~8934160060C3.html</t>
  </si>
  <si>
    <t>https://www.toyotapartsdeal.com/parts/toyota-part~5215542050.html</t>
  </si>
  <si>
    <t>https://www.toyotapartsdeal.com/parts/toyota-part~5215642050.html</t>
  </si>
  <si>
    <t>https://www.toyotapartsdeal.com/parts/toyota-part~7586768010.html</t>
  </si>
  <si>
    <t>https://www.toyotapartsdeal.com/parts/toyota-part~9018906242.html</t>
  </si>
  <si>
    <t>https://www.toyotapartsdeal.com/parts/toyota-part~8155142230.html</t>
  </si>
  <si>
    <t>https://www.toyotapartsdeal.com/parts/toyota-part~8156142230.html</t>
  </si>
  <si>
    <t>https://www.toyotapartsdeal.com/parts/toyota-part~6474042141C0.html</t>
  </si>
  <si>
    <t>https://www.toyotapartsdeal.com/parts/toyota-part~6700542650.html</t>
  </si>
  <si>
    <t>https://www.toyotapartsdeal.com/parts/toyota-part~5841742070C0.html</t>
  </si>
  <si>
    <t>https://www.toyotapartsdeal.com/parts/toyota-part~5838742130C0.html</t>
  </si>
  <si>
    <t>https://www.toyotapartsdeal.com/parts/toyota-part~6793842070C0.html</t>
  </si>
  <si>
    <t>https://www.toyotapartsdeal.com/parts/toyota-part~5241142110.html</t>
  </si>
  <si>
    <t>https://www.toyotapartsdeal.com/parts/toyota-part~5202342060.html</t>
  </si>
  <si>
    <t>COT. 39431  |  26-01-VH-7089561-DP  |  Zurich Seguros Ecuador SA  |  MERCEDES BENZ  |  PDR6769 (2021)  |  W1K3F5DB0MN215512  |  GLOBAL MOTRIZ SA FLUJO EXPRESS  |  30/07/2026 16:55</t>
  </si>
  <si>
    <t>ABSORBED.IMPACTO DL.</t>
  </si>
  <si>
    <t>177 500 7900</t>
  </si>
  <si>
    <t>ACTUADOR RADIADOR</t>
  </si>
  <si>
    <t>177 885 1704</t>
  </si>
  <si>
    <t>ALERON INF.</t>
  </si>
  <si>
    <t>8708.29.90.90</t>
  </si>
  <si>
    <t>177 500 4100</t>
  </si>
  <si>
    <t>177 885 6603</t>
  </si>
  <si>
    <t>DEFLEC.INF.RADIADOR</t>
  </si>
  <si>
    <t>177 500 4500</t>
  </si>
  <si>
    <t>177 505 2100</t>
  </si>
  <si>
    <t>GOMA INF.RADIADOR</t>
  </si>
  <si>
    <t>118 885 7601 9999</t>
  </si>
  <si>
    <t>177 880 8605</t>
  </si>
  <si>
    <t>PARRILLA CPL.</t>
  </si>
  <si>
    <t>177 885 4502</t>
  </si>
  <si>
    <t>PLAT.INF.PARACH.DEL.</t>
  </si>
  <si>
    <t>118 885 8701</t>
  </si>
  <si>
    <t>099 500 5701</t>
  </si>
  <si>
    <t>099 500 5901</t>
  </si>
  <si>
    <t>099 500 6001</t>
  </si>
  <si>
    <t>RADIADOR BAJA TEMPER</t>
  </si>
  <si>
    <t>118 885 8301</t>
  </si>
  <si>
    <t>REC.INT.I.PARACH.DL.</t>
  </si>
  <si>
    <t>177 885 6503</t>
  </si>
  <si>
    <t>RECUBRIMIENTO DEL.</t>
  </si>
  <si>
    <t>118 885 8501</t>
  </si>
  <si>
    <t>REJIL.SUP.PARACH.DL.</t>
  </si>
  <si>
    <t>118 885 8101</t>
  </si>
  <si>
    <t>REJILLA I.PARACH.DL.</t>
  </si>
  <si>
    <t>177 885 9200</t>
  </si>
  <si>
    <t>REJILLA PARACH.INF.</t>
  </si>
  <si>
    <t>177 885 9103</t>
  </si>
  <si>
    <t>SOP.CEN.DEFLEC.AIRE</t>
  </si>
  <si>
    <t>177 888 4200</t>
  </si>
  <si>
    <t>SOP.ESTRELL.MERCEDES</t>
  </si>
  <si>
    <t>247 504 0400</t>
  </si>
  <si>
    <t>SOP.INF.D.</t>
  </si>
  <si>
    <t>177 500 3400</t>
  </si>
  <si>
    <t>SOP.INF.D.RADIADOR</t>
  </si>
  <si>
    <t>247 504 0300</t>
  </si>
  <si>
    <t>SOP.INF.I.</t>
  </si>
  <si>
    <t>177 500 3300</t>
  </si>
  <si>
    <t>SOP.INF.I.RADIADOR</t>
  </si>
  <si>
    <t>177 504 3100</t>
  </si>
  <si>
    <t>SOP.INF.RADIADOR</t>
  </si>
  <si>
    <t>KNPL0</t>
  </si>
  <si>
    <t>SOPORTE DE PLACA DL.</t>
  </si>
  <si>
    <t>231 884 0074</t>
  </si>
  <si>
    <t>TAPA REC.DEL.CEN.I.</t>
  </si>
  <si>
    <t>177 501 9500</t>
  </si>
  <si>
    <t>TUBO AGUA INF.D.</t>
  </si>
  <si>
    <t>8413.30.99.00</t>
  </si>
  <si>
    <t>260728122647446</t>
  </si>
  <si>
    <t>VALVULA D REFRIGERAN</t>
  </si>
  <si>
    <t>8409.91.70.00</t>
  </si>
  <si>
    <t>https://www.ebay.com/sch/6028/i.html?_nkw=KNPL0&amp;LH_BIN=1&amp;LH_ItemCondition=1000&amp;LH_Shipped_to=US</t>
  </si>
  <si>
    <t>https://www.ebay.com/sch/6028/i.html?_nkw=260728122647446&amp;LH_BIN=1&amp;LH_ItemCondition=1000&amp;LH_Shipped_to=US</t>
  </si>
  <si>
    <t>https://www.ebay.com/sch/6028/i.html?_nkw=1188800301&amp;LH_BIN=1&amp;LH_ItemCondition=1000&amp;LH_Shipped_to=US</t>
  </si>
  <si>
    <t>https://www.ebay.com/sch/6028/i.html?_nkw=1775007900&amp;LH_BIN=1&amp;LH_ItemCondition=1000&amp;LH_Shipped_to=US</t>
  </si>
  <si>
    <t>https://www.ebay.com/sch/6028/i.html?_nkw=1778851704&amp;LH_BIN=1&amp;LH_ItemCondition=1000&amp;LH_Shipped_to=US</t>
  </si>
  <si>
    <t>https://www.ebay.com/sch/6028/i.html?_nkw=1775004100&amp;LH_BIN=1&amp;LH_ItemCondition=1000&amp;LH_Shipped_to=US</t>
  </si>
  <si>
    <t>https://www.ebay.com/sch/6028/i.html?_nkw=1778856603&amp;LH_BIN=1&amp;LH_ItemCondition=1000&amp;LH_Shipped_to=US</t>
  </si>
  <si>
    <t>https://www.ebay.com/sch/6028/i.html?_nkw=1775004500&amp;LH_BIN=1&amp;LH_ItemCondition=1000&amp;LH_Shipped_to=US</t>
  </si>
  <si>
    <t>https://www.ebay.com/sch/6028/i.html?_nkw=1775052100&amp;LH_BIN=1&amp;LH_ItemCondition=1000&amp;LH_Shipped_to=US</t>
  </si>
  <si>
    <t>https://www.ebay.com/sch/6028/i.html?_nkw=11888576019999&amp;LH_BIN=1&amp;LH_ItemCondition=1000&amp;LH_Shipped_to=US</t>
  </si>
  <si>
    <t>https://www.ebay.com/sch/6028/i.html?_nkw=1778808605&amp;LH_BIN=1&amp;LH_ItemCondition=1000&amp;LH_Shipped_to=US</t>
  </si>
  <si>
    <t>https://www.ebay.com/sch/6028/i.html?_nkw=1778854502&amp;LH_BIN=1&amp;LH_ItemCondition=1000&amp;LH_Shipped_to=US</t>
  </si>
  <si>
    <t>https://www.ebay.com/sch/6028/i.html?_nkw=1188858701&amp;LH_BIN=1&amp;LH_ItemCondition=1000&amp;LH_Shipped_to=US</t>
  </si>
  <si>
    <t>https://www.ebay.com/sch/6028/i.html?_nkw=0995005701&amp;LH_BIN=1&amp;LH_ItemCondition=1000&amp;LH_Shipped_to=US</t>
  </si>
  <si>
    <t>https://www.ebay.com/sch/6028/i.html?_nkw=0995005901&amp;LH_BIN=1&amp;LH_ItemCondition=1000&amp;LH_Shipped_to=US</t>
  </si>
  <si>
    <t>https://www.ebay.com/sch/6028/i.html?_nkw=0995006001&amp;LH_BIN=1&amp;LH_ItemCondition=1000&amp;LH_Shipped_to=US</t>
  </si>
  <si>
    <t>https://www.ebay.com/sch/6028/i.html?_nkw=1188858301&amp;LH_BIN=1&amp;LH_ItemCondition=1000&amp;LH_Shipped_to=US</t>
  </si>
  <si>
    <t>https://www.ebay.com/sch/6028/i.html?_nkw=1778856503&amp;LH_BIN=1&amp;LH_ItemCondition=1000&amp;LH_Shipped_to=US</t>
  </si>
  <si>
    <t>https://www.ebay.com/sch/6028/i.html?_nkw=1188858501&amp;LH_BIN=1&amp;LH_ItemCondition=1000&amp;LH_Shipped_to=US</t>
  </si>
  <si>
    <t>https://www.ebay.com/sch/6028/i.html?_nkw=1188858101&amp;LH_BIN=1&amp;LH_ItemCondition=1000&amp;LH_Shipped_to=US</t>
  </si>
  <si>
    <t>https://www.ebay.com/sch/6028/i.html?_nkw=1778859200&amp;LH_BIN=1&amp;LH_ItemCondition=1000&amp;LH_Shipped_to=US</t>
  </si>
  <si>
    <t>https://www.ebay.com/sch/6028/i.html?_nkw=1778859103&amp;LH_BIN=1&amp;LH_ItemCondition=1000&amp;LH_Shipped_to=US</t>
  </si>
  <si>
    <t>https://www.ebay.com/sch/6028/i.html?_nkw=1778884200&amp;LH_BIN=1&amp;LH_ItemCondition=1000&amp;LH_Shipped_to=US</t>
  </si>
  <si>
    <t>https://www.ebay.com/sch/6028/i.html?_nkw=2475040400&amp;LH_BIN=1&amp;LH_ItemCondition=1000&amp;LH_Shipped_to=US</t>
  </si>
  <si>
    <t>https://www.ebay.com/sch/6028/i.html?_nkw=1775003400&amp;LH_BIN=1&amp;LH_ItemCondition=1000&amp;LH_Shipped_to=US</t>
  </si>
  <si>
    <t>https://www.ebay.com/sch/6028/i.html?_nkw=2475040300&amp;LH_BIN=1&amp;LH_ItemCondition=1000&amp;LH_Shipped_to=US</t>
  </si>
  <si>
    <t>https://www.ebay.com/sch/6028/i.html?_nkw=1775003300&amp;LH_BIN=1&amp;LH_ItemCondition=1000&amp;LH_Shipped_to=US</t>
  </si>
  <si>
    <t>https://www.ebay.com/sch/6028/i.html?_nkw=1775043100&amp;LH_BIN=1&amp;LH_ItemCondition=1000&amp;LH_Shipped_to=US</t>
  </si>
  <si>
    <t>https://www.ebay.com/sch/6028/i.html?_nkw=2318840074&amp;LH_BIN=1&amp;LH_ItemCondition=1000&amp;LH_Shipped_to=US</t>
  </si>
  <si>
    <t>https://www.ebay.com/sch/6028/i.html?_nkw=1775019500&amp;LH_BIN=1&amp;LH_ItemCondition=1000&amp;LH_Shipped_to=US</t>
  </si>
  <si>
    <t>https://partsouq.com/en/search/all?q=1188800301</t>
  </si>
  <si>
    <t>https://partsouq.com/en/search/all?q=1775007900</t>
  </si>
  <si>
    <t>https://partsouq.com/en/search/all?q=1778851704</t>
  </si>
  <si>
    <t>https://partsouq.com/en/search/all?q=1775004100</t>
  </si>
  <si>
    <t>https://partsouq.com/en/search/all?q=1778856603</t>
  </si>
  <si>
    <t>https://partsouq.com/en/search/all?q=1775004500</t>
  </si>
  <si>
    <t>https://partsouq.com/en/search/all?q=1775052100</t>
  </si>
  <si>
    <t>https://partsouq.com/en/search/all?q=11888576019999</t>
  </si>
  <si>
    <t>https://partsouq.com/en/search/all?q=1778808605</t>
  </si>
  <si>
    <t>https://partsouq.com/en/search/all?q=1778854502</t>
  </si>
  <si>
    <t>https://partsouq.com/en/search/all?q=1188858701</t>
  </si>
  <si>
    <t>https://partsouq.com/en/search/all?q=0995005701</t>
  </si>
  <si>
    <t>https://partsouq.com/en/search/all?q=0995005901</t>
  </si>
  <si>
    <t>https://partsouq.com/en/search/all?q=0995006001</t>
  </si>
  <si>
    <t>https://partsouq.com/en/search/all?q=1188858301</t>
  </si>
  <si>
    <t>https://partsouq.com/en/search/all?q=1778856503</t>
  </si>
  <si>
    <t>https://partsouq.com/en/search/all?q=1188858501</t>
  </si>
  <si>
    <t>https://partsouq.com/en/search/all?q=1188858101</t>
  </si>
  <si>
    <t>https://partsouq.com/en/search/all?q=1778859200</t>
  </si>
  <si>
    <t>https://partsouq.com/en/search/all?q=1778859103</t>
  </si>
  <si>
    <t>https://partsouq.com/en/search/all?q=1778884200</t>
  </si>
  <si>
    <t>https://partsouq.com/en/search/all?q=2475040400</t>
  </si>
  <si>
    <t>https://partsouq.com/en/search/all?q=1775003400</t>
  </si>
  <si>
    <t>https://partsouq.com/en/search/all?q=2475040300</t>
  </si>
  <si>
    <t>https://partsouq.com/en/search/all?q=1775003300</t>
  </si>
  <si>
    <t>https://partsouq.com/en/search/all?q=1775043100</t>
  </si>
  <si>
    <t>https://partsouq.com/en/search/all?q=KNPL0</t>
  </si>
  <si>
    <t>https://partsouq.com/en/search/all?q=2318840074</t>
  </si>
  <si>
    <t>https://partsouq.com/en/search/all?q=1775019500</t>
  </si>
  <si>
    <t xml:space="preserve">
A 177 885 58 00</t>
  </si>
  <si>
    <t>COT. 030820261  |  orgu1  |    |  FORD  |   (2010)  |  1FTFW1EV1AFD37326  |  ORGU  |  03/08/2026 12:51</t>
  </si>
  <si>
    <t>AL3Z15525JA</t>
  </si>
  <si>
    <t>RAMAL CABLES C\C M4.6L SOHC/M5.4L F150 2009-2010</t>
  </si>
  <si>
    <t>AL3Z12A581FA</t>
  </si>
  <si>
    <t>RAMAL CABLES ELECTRICOS C\A 6R80 6 VELOCIDADES F150 2009-2010</t>
  </si>
  <si>
    <t>KL3Z-14A411-AA</t>
  </si>
  <si>
    <t>CABLE, CABLE DE PUENTEO DEL SENSOR DE TEMPERATURA DE LA CULATA</t>
  </si>
  <si>
    <t>AL3Z14305BA</t>
  </si>
  <si>
    <t>RAMAL CABLEADO ALTERNADOR M5.4L 3V V8 F150 2009-2010</t>
  </si>
  <si>
    <t>7315.12.00.90</t>
  </si>
  <si>
    <t>AL3Z9D930BA</t>
  </si>
  <si>
    <t>RAMAL CABLES PRINCIPAL MOTOR 5.4L 3V V8 F150 2009-2010 EXPE 2009-2011</t>
  </si>
  <si>
    <t>https://www.ebay.com/sch/6028/i.html?_nkw=AL3Z15525JA&amp;LH_BIN=1&amp;LH_ItemCondition=1000&amp;LH_Shipped_to=US</t>
  </si>
  <si>
    <t>https://www.ebay.com/sch/6028/i.html?_nkw=AL3Z12A581FA&amp;LH_BIN=1&amp;LH_ItemCondition=1000&amp;LH_Shipped_to=US</t>
  </si>
  <si>
    <t>https://www.ebay.com/sch/6028/i.html?_nkw=KL3Z14A411AA&amp;LH_BIN=1&amp;LH_ItemCondition=1000&amp;LH_Shipped_to=US</t>
  </si>
  <si>
    <t>https://www.ebay.com/sch/6028/i.html?_nkw=AL3Z14305BA&amp;LH_BIN=1&amp;LH_ItemCondition=1000&amp;LH_Shipped_to=US</t>
  </si>
  <si>
    <t>https://www.ebay.com/sch/6028/i.html?_nkw=AL3Z9D930BA&amp;LH_BIN=1&amp;LH_ItemCondition=1000&amp;LH_Shipped_to=US</t>
  </si>
  <si>
    <t>https://www.fordpartsgiant.com/parts/ford-wire-asy_al3z-15525-ja.html</t>
  </si>
  <si>
    <t>https://www.fordpartsgiant.com/parts/ford-wire-asy_al3z-12a581-fa.html</t>
  </si>
  <si>
    <t>https://www.fordpartsgiant.com/</t>
  </si>
  <si>
    <t>https://www.fordpartsgiant.com/parts/ford-wiring-assy-alternator_al3z-14305-ba.html</t>
  </si>
  <si>
    <t>https://www.fordpartsgiant.com/parts/ford-wire-asy_al3z-9d930-ba.html</t>
  </si>
  <si>
    <t>COT. 39509  |    |    |    |   ()  |    |    |  06/08/2026 05:50</t>
  </si>
  <si>
    <t>52614 42080</t>
  </si>
  <si>
    <t>17894 36031</t>
  </si>
  <si>
    <t>CARCASA ADMIS.INF.</t>
  </si>
  <si>
    <t>16695 26010</t>
  </si>
  <si>
    <t>DEFLECTOR AIRE I.</t>
  </si>
  <si>
    <t>81220 60120</t>
  </si>
  <si>
    <t>FARO ANTINIEB.I.CPL.</t>
  </si>
  <si>
    <t>81130 42522</t>
  </si>
  <si>
    <t>81170 42522</t>
  </si>
  <si>
    <t>52119 4A904</t>
  </si>
  <si>
    <t>53112 42090</t>
  </si>
  <si>
    <t>52113 42100</t>
  </si>
  <si>
    <t>PLATINA I.PARACH.DL.</t>
  </si>
  <si>
    <t>53128 42020</t>
  </si>
  <si>
    <t>REJILLA VENT.INF.I.</t>
  </si>
  <si>
    <t>52128 42090</t>
  </si>
  <si>
    <t>SOP.I.FARO ANTINIEBL</t>
  </si>
  <si>
    <t>52536 42050</t>
  </si>
  <si>
    <t>52411 42030</t>
  </si>
  <si>
    <t>17751 36051</t>
  </si>
  <si>
    <t>TUBO CANAL AIRE</t>
  </si>
  <si>
    <t>https://www.ebay.com/sch/6028/i.html?_nkw=5261442080&amp;LH_BIN=1&amp;LH_ItemCondition=1000&amp;LH_Shipped_to=US</t>
  </si>
  <si>
    <t>https://www.ebay.com/sch/6028/i.html?_nkw=1789436031&amp;LH_BIN=1&amp;LH_ItemCondition=1000&amp;LH_Shipped_to=US</t>
  </si>
  <si>
    <t>https://www.ebay.com/sch/6028/i.html?_nkw=1669526010&amp;LH_BIN=1&amp;LH_ItemCondition=1000&amp;LH_Shipped_to=US</t>
  </si>
  <si>
    <t>https://www.ebay.com/sch/6028/i.html?_nkw=8122060120&amp;LH_BIN=1&amp;LH_ItemCondition=1000&amp;LH_Shipped_to=US</t>
  </si>
  <si>
    <t>https://www.ebay.com/sch/6028/i.html?_nkw=8113042522&amp;LH_BIN=1&amp;LH_ItemCondition=1000&amp;LH_Shipped_to=US</t>
  </si>
  <si>
    <t>https://www.ebay.com/sch/6028/i.html?_nkw=8117042522&amp;LH_BIN=1&amp;LH_ItemCondition=1000&amp;LH_Shipped_to=US</t>
  </si>
  <si>
    <t>https://www.ebay.com/sch/6028/i.html?_nkw=521194A904&amp;LH_BIN=1&amp;LH_ItemCondition=1000&amp;LH_Shipped_to=US</t>
  </si>
  <si>
    <t>https://www.ebay.com/sch/6028/i.html?_nkw=5311242090&amp;LH_BIN=1&amp;LH_ItemCondition=1000&amp;LH_Shipped_to=US</t>
  </si>
  <si>
    <t>https://www.ebay.com/sch/6028/i.html?_nkw=5211342100&amp;LH_BIN=1&amp;LH_ItemCondition=1000&amp;LH_Shipped_to=US</t>
  </si>
  <si>
    <t>https://www.ebay.com/sch/6028/i.html?_nkw=5312842020&amp;LH_BIN=1&amp;LH_ItemCondition=1000&amp;LH_Shipped_to=US</t>
  </si>
  <si>
    <t>https://www.ebay.com/sch/6028/i.html?_nkw=5212842090&amp;LH_BIN=1&amp;LH_ItemCondition=1000&amp;LH_Shipped_to=US</t>
  </si>
  <si>
    <t>https://www.ebay.com/sch/6028/i.html?_nkw=5253642050&amp;LH_BIN=1&amp;LH_ItemCondition=1000&amp;LH_Shipped_to=US</t>
  </si>
  <si>
    <t>https://www.ebay.com/sch/6028/i.html?_nkw=5241142030&amp;LH_BIN=1&amp;LH_ItemCondition=1000&amp;LH_Shipped_to=US</t>
  </si>
  <si>
    <t>https://www.ebay.com/sch/6028/i.html?_nkw=1775136051&amp;LH_BIN=1&amp;LH_ItemCondition=1000&amp;LH_Shipped_to=US</t>
  </si>
  <si>
    <t>https://partsouq.com/en/search/all?q=5261442080</t>
  </si>
  <si>
    <t>https://partsouq.com/en/search/all?q=1789436031</t>
  </si>
  <si>
    <t>https://partsouq.com/en/search/all?q=1669526010</t>
  </si>
  <si>
    <t>https://partsouq.com/en/search/all?q=8122060120</t>
  </si>
  <si>
    <t>https://partsouq.com/en/search/all?q=8113042522</t>
  </si>
  <si>
    <t>https://partsouq.com/en/search/all?q=8117042522</t>
  </si>
  <si>
    <t>https://partsouq.com/en/search/all?q=521194A904</t>
  </si>
  <si>
    <t>https://partsouq.com/en/search/all?q=5311242090</t>
  </si>
  <si>
    <t>https://partsouq.com/en/search/all?q=5211342100</t>
  </si>
  <si>
    <t>https://partsouq.com/en/search/all?q=5312842020</t>
  </si>
  <si>
    <t>https://partsouq.com/en/search/all?q=5212842090</t>
  </si>
  <si>
    <t>https://partsouq.com/en/search/all?q=5253642050</t>
  </si>
  <si>
    <t>https://partsouq.com/en/search/all?q=5241142030</t>
  </si>
  <si>
    <t>https://partsouq.com/en/search/all?q=1775136051</t>
  </si>
  <si>
    <t>COT. 39547  |  26-03-VH-7090056RC  |  Zurich Seguros Ecuador SA  |  NISSAN  |  OBB3370 (2015)  |  3N1CN7AD4FK403315  |  TALLERES SE AUTO  |  07/08/2026 09:19</t>
  </si>
  <si>
    <t>65400 3AN0A</t>
  </si>
  <si>
    <t>65401 3AN0A</t>
  </si>
  <si>
    <t>F5100 9KKMA</t>
  </si>
  <si>
    <t>65601 3BB2A</t>
  </si>
  <si>
    <t>65603 3BN0A</t>
  </si>
  <si>
    <t>CONTRACERRADURA DEL.</t>
  </si>
  <si>
    <t>21499 9KM0A</t>
  </si>
  <si>
    <t>DEFLECTOR D.RADIADOR</t>
  </si>
  <si>
    <t>28910 1HB1B</t>
  </si>
  <si>
    <t>DEPOSITO LIMPIADORES</t>
  </si>
  <si>
    <t>26010 9KM0A</t>
  </si>
  <si>
    <t>F3100 3BAMC</t>
  </si>
  <si>
    <t>63842 9KK0A</t>
  </si>
  <si>
    <t>62022 9KM0J</t>
  </si>
  <si>
    <t>62310 9KM0A</t>
  </si>
  <si>
    <t>62224 3BA0A</t>
  </si>
  <si>
    <t>26042 9KK0A</t>
  </si>
  <si>
    <t>SOP.EXT.FARO D.</t>
  </si>
  <si>
    <t>26042 9KK0B</t>
  </si>
  <si>
    <t>SOP.INT.FARO DL.D.</t>
  </si>
  <si>
    <t>https://www.ebay.com/sch/6028/i.html?_nkw=654003AN0A&amp;LH_BIN=1&amp;LH_ItemCondition=1000&amp;LH_Shipped_to=US</t>
  </si>
  <si>
    <t>https://www.ebay.com/sch/6028/i.html?_nkw=654013AN0A&amp;LH_BIN=1&amp;LH_ItemCondition=1000&amp;LH_Shipped_to=US</t>
  </si>
  <si>
    <t>https://www.ebay.com/sch/6028/i.html?_nkw=F51009KKMA&amp;LH_BIN=1&amp;LH_ItemCondition=1000&amp;LH_Shipped_to=US</t>
  </si>
  <si>
    <t>https://www.ebay.com/sch/6028/i.html?_nkw=656013BB2A&amp;LH_BIN=1&amp;LH_ItemCondition=1000&amp;LH_Shipped_to=US</t>
  </si>
  <si>
    <t>https://www.ebay.com/sch/6028/i.html?_nkw=656033BN0A&amp;LH_BIN=1&amp;LH_ItemCondition=1000&amp;LH_Shipped_to=US</t>
  </si>
  <si>
    <t>https://www.ebay.com/sch/6028/i.html?_nkw=214999KM0A&amp;LH_BIN=1&amp;LH_ItemCondition=1000&amp;LH_Shipped_to=US</t>
  </si>
  <si>
    <t>https://www.ebay.com/sch/6028/i.html?_nkw=289101HB1B&amp;LH_BIN=1&amp;LH_ItemCondition=1000&amp;LH_Shipped_to=US</t>
  </si>
  <si>
    <t>https://www.ebay.com/sch/6028/i.html?_nkw=260109KM0A&amp;LH_BIN=1&amp;LH_ItemCondition=1000&amp;LH_Shipped_to=US</t>
  </si>
  <si>
    <t>https://www.ebay.com/sch/6028/i.html?_nkw=F31003BAMC&amp;LH_BIN=1&amp;LH_ItemCondition=1000&amp;LH_Shipped_to=US</t>
  </si>
  <si>
    <t>https://www.ebay.com/sch/6028/i.html?_nkw=638429KK0A&amp;LH_BIN=1&amp;LH_ItemCondition=1000&amp;LH_Shipped_to=US</t>
  </si>
  <si>
    <t>https://www.ebay.com/sch/6028/i.html?_nkw=620229KM0J&amp;LH_BIN=1&amp;LH_ItemCondition=1000&amp;LH_Shipped_to=US</t>
  </si>
  <si>
    <t>https://www.ebay.com/sch/6028/i.html?_nkw=623109KM0A&amp;LH_BIN=1&amp;LH_ItemCondition=1000&amp;LH_Shipped_to=US</t>
  </si>
  <si>
    <t>https://www.ebay.com/sch/6028/i.html?_nkw=622243BA0A&amp;LH_BIN=1&amp;LH_ItemCondition=1000&amp;LH_Shipped_to=US</t>
  </si>
  <si>
    <t>https://www.ebay.com/sch/6028/i.html?_nkw=260429KK0A&amp;LH_BIN=1&amp;LH_ItemCondition=1000&amp;LH_Shipped_to=US</t>
  </si>
  <si>
    <t>https://www.ebay.com/sch/6028/i.html?_nkw=260429KK0B&amp;LH_BIN=1&amp;LH_ItemCondition=1000&amp;LH_Shipped_to=US</t>
  </si>
  <si>
    <t>https://www.nissanpartsdeal.com/parts/nissan-hinge-assy-hood~65400-3an0a.html</t>
  </si>
  <si>
    <t>https://www.nissanpartsdeal.com/parts/nissan-hinge-assy-hood~65401-3an0a.html</t>
  </si>
  <si>
    <t>https://www.nissanpartsdeal.com/parts/nissan-hood~f5100-9kkma.html</t>
  </si>
  <si>
    <t>https://www.nissanpartsdeal.com/parts/nissan-bell-crank-hood-lock~65603-3bn0a.html</t>
  </si>
  <si>
    <t>https://www.nissanpartsdeal.com/parts/nissan-seal-radiator-l~21499-9km0a.html</t>
  </si>
  <si>
    <t>https://www.nissanpartsdeal.com/parts/nissan-tank-asmy-winds~28910-1hb1b.html</t>
  </si>
  <si>
    <t>https://www.nissanpartsdeal.com/parts/nissan-fender-front~f3100-3bamc.html</t>
  </si>
  <si>
    <t>https://www.nissanpartsdeal.com/parts/nissan-protector-front~63842-9kk0a.html</t>
  </si>
  <si>
    <t>https://www.nissanpartsdeal.com/parts/nissan-bumper-set-fron~62022-9km0j.html</t>
  </si>
  <si>
    <t>https://www.nissanpartsdeal.com/parts/nissan-grill-radiator~62310-9km0a.html</t>
  </si>
  <si>
    <t>https://www.nissanpartsdeal.com/parts/nissan-bracket-front-b~62224-3ba0a.html</t>
  </si>
  <si>
    <t>https://www.nissanpartsdeal.com/parts/nissan-bracket-asmy-he~26042-9kk0a.html</t>
  </si>
  <si>
    <t>https://www.nissanpartsdeal.com/parts/nissan-bracket-asmy-he~26042-9kk0b.html</t>
  </si>
  <si>
    <t>COT. 2973  |  569387  |  CHUBB SEGUROS ECUADOR SA  |  TOYOTA  |  ABI3056 (2020)  |  MHFCX3EM7L0001547  |  PLUMA DURAN  |  07/08/2026 14:42</t>
  </si>
  <si>
    <t>52601 0K090</t>
  </si>
  <si>
    <t>ABSORB.INF.IMPAC.DL.</t>
  </si>
  <si>
    <t>52614 0K120</t>
  </si>
  <si>
    <t>ABSORB.SP.IMPACT.DL.</t>
  </si>
  <si>
    <t>53410 0K170</t>
  </si>
  <si>
    <t>53420 0K170</t>
  </si>
  <si>
    <t>53301 0K150</t>
  </si>
  <si>
    <t>81210 0K130</t>
  </si>
  <si>
    <t>FARO ANTINIEB.D.CPL.</t>
  </si>
  <si>
    <t>81130 0KB10</t>
  </si>
  <si>
    <t>81170 0KB10</t>
  </si>
  <si>
    <t>81510 0K010</t>
  </si>
  <si>
    <t>LUZ DIRECCION.DL.D.</t>
  </si>
  <si>
    <t>8708.80.10.00</t>
  </si>
  <si>
    <t>52119 0M956</t>
  </si>
  <si>
    <t>53100 0KB90</t>
  </si>
  <si>
    <t>53112 0K240</t>
  </si>
  <si>
    <t>52125 YP110</t>
  </si>
  <si>
    <t>PLAT.D.FARO ANTINIEB</t>
  </si>
  <si>
    <t>55708 0K140</t>
  </si>
  <si>
    <t>REJILLA VENTILACION</t>
  </si>
  <si>
    <t>8421.31.00.02</t>
  </si>
  <si>
    <t>53293 KK010</t>
  </si>
  <si>
    <t>SOP.DL.D.RADIADOR</t>
  </si>
  <si>
    <t>53294 KK010</t>
  </si>
  <si>
    <t>SOP.DL.I.RADIADOR</t>
  </si>
  <si>
    <t>52115 0K210</t>
  </si>
  <si>
    <t>SOP.EXT.D.PARACH.DL.</t>
  </si>
  <si>
    <t>https://www.ebay.com/sch/6028/i.html?_nkw=526010K090&amp;LH_BIN=1&amp;LH_ItemCondition=1000&amp;LH_Shipped_to=US</t>
  </si>
  <si>
    <t>https://www.ebay.com/sch/6028/i.html?_nkw=526140K120&amp;LH_BIN=1&amp;LH_ItemCondition=1000&amp;LH_Shipped_to=US</t>
  </si>
  <si>
    <t>https://www.ebay.com/sch/6028/i.html?_nkw=534100K170&amp;LH_BIN=1&amp;LH_ItemCondition=1000&amp;LH_Shipped_to=US</t>
  </si>
  <si>
    <t>https://www.ebay.com/sch/6028/i.html?_nkw=534200K170&amp;LH_BIN=1&amp;LH_ItemCondition=1000&amp;LH_Shipped_to=US</t>
  </si>
  <si>
    <t>https://www.ebay.com/sch/6028/i.html?_nkw=533010K150&amp;LH_BIN=1&amp;LH_ItemCondition=1000&amp;LH_Shipped_to=US</t>
  </si>
  <si>
    <t>https://www.ebay.com/sch/6028/i.html?_nkw=812100K130&amp;LH_BIN=1&amp;LH_ItemCondition=1000&amp;LH_Shipped_to=US</t>
  </si>
  <si>
    <t>https://www.ebay.com/sch/6028/i.html?_nkw=811300KB10&amp;LH_BIN=1&amp;LH_ItemCondition=1000&amp;LH_Shipped_to=US</t>
  </si>
  <si>
    <t>https://www.ebay.com/sch/6028/i.html?_nkw=811700KB10&amp;LH_BIN=1&amp;LH_ItemCondition=1000&amp;LH_Shipped_to=US</t>
  </si>
  <si>
    <t>https://www.ebay.com/sch/6028/i.html?_nkw=815100K010&amp;LH_BIN=1&amp;LH_ItemCondition=1000&amp;LH_Shipped_to=US</t>
  </si>
  <si>
    <t>https://www.ebay.com/sch/6028/i.html?_nkw=521190M956&amp;LH_BIN=1&amp;LH_ItemCondition=1000&amp;LH_Shipped_to=US</t>
  </si>
  <si>
    <t>https://www.ebay.com/sch/6028/i.html?_nkw=531000KB90&amp;LH_BIN=1&amp;LH_ItemCondition=1000&amp;LH_Shipped_to=US</t>
  </si>
  <si>
    <t>https://www.ebay.com/sch/6028/i.html?_nkw=531120K240&amp;LH_BIN=1&amp;LH_ItemCondition=1000&amp;LH_Shipped_to=US</t>
  </si>
  <si>
    <t>https://www.ebay.com/sch/6028/i.html?_nkw=52125YP110&amp;LH_BIN=1&amp;LH_ItemCondition=1000&amp;LH_Shipped_to=US</t>
  </si>
  <si>
    <t>https://www.ebay.com/sch/6028/i.html?_nkw=557080K140&amp;LH_BIN=1&amp;LH_ItemCondition=1000&amp;LH_Shipped_to=US</t>
  </si>
  <si>
    <t>https://www.ebay.com/sch/6028/i.html?_nkw=53293KK010&amp;LH_BIN=1&amp;LH_ItemCondition=1000&amp;LH_Shipped_to=US</t>
  </si>
  <si>
    <t>https://www.ebay.com/sch/6028/i.html?_nkw=53294KK010&amp;LH_BIN=1&amp;LH_ItemCondition=1000&amp;LH_Shipped_to=US</t>
  </si>
  <si>
    <t>https://www.ebay.com/sch/6028/i.html?_nkw=521150K210&amp;LH_BIN=1&amp;LH_ItemCondition=1000&amp;LH_Shipped_to=US</t>
  </si>
  <si>
    <t>https://www.toyotapartsdeal.com/</t>
  </si>
  <si>
    <t>https://partsouq.com/en/search/all?q=534100K170</t>
  </si>
  <si>
    <t>https://partsouq.com/en/search/all?q=534200K170</t>
  </si>
  <si>
    <t>https://partsouq.com/en/search/all?q=533010K150</t>
  </si>
  <si>
    <t>https://partsouq.com/en/search/all?q=812100K130</t>
  </si>
  <si>
    <t>https://partsouq.com/en/search/all?q=811300KB10</t>
  </si>
  <si>
    <t>https://partsouq.com/en/search/all?q=811700KB10</t>
  </si>
  <si>
    <t>https://partsouq.com/en/search/all?q=815100K010</t>
  </si>
  <si>
    <t>https://partsouq.com/en/search/all?q=521190M956</t>
  </si>
  <si>
    <t>https://partsouq.com/en/search/all?q=531000KB90</t>
  </si>
  <si>
    <t>https://partsouq.com/en/search/all?q=531120K240</t>
  </si>
  <si>
    <t>https://partsouq.com/en/search/all?q=557080K140</t>
  </si>
  <si>
    <t>https://partsouq.com/en/search/all?q=521150K210</t>
  </si>
  <si>
    <t>COT. 39668  |  26-02-VH-7089585-DP  |  Zurich Seguros Ecuador SA  |  DODGE  |  PFD8477 (2022)  |  1C6RRFFG4NN482915  |  TALLER ZURICH  |  15/08/2026 10:57</t>
  </si>
  <si>
    <t>68310029AC</t>
  </si>
  <si>
    <t>AISLANTE CAPO DL.</t>
  </si>
  <si>
    <t>7KB10TX7AA</t>
  </si>
  <si>
    <t>AISLANTE TECHO</t>
  </si>
  <si>
    <t>8501.52.10.00</t>
  </si>
  <si>
    <t>68339036AC</t>
  </si>
  <si>
    <t>CEPIL.D.LIMPIAPARAB.</t>
  </si>
  <si>
    <t>CEPIL.I.LIMPIAPARAB.</t>
  </si>
  <si>
    <t>68285876AE</t>
  </si>
  <si>
    <t>CEPILL.EXT.VID.TR.D.</t>
  </si>
  <si>
    <t>68275584AD</t>
  </si>
  <si>
    <t>PARABRISAS</t>
  </si>
  <si>
    <t>3919.90.90.90</t>
  </si>
  <si>
    <t>5YK45TX7AG</t>
  </si>
  <si>
    <t>PLAT.IN.MARC.VI.DL.I</t>
  </si>
  <si>
    <t>68292930AD</t>
  </si>
  <si>
    <t>PLAT.MARC.PUER.TR.D.</t>
  </si>
  <si>
    <t>68292928AD</t>
  </si>
  <si>
    <t>PLAT.TRA.MARC.PUER.D</t>
  </si>
  <si>
    <t>68294550AC</t>
  </si>
  <si>
    <t>REC.SUP.MARC.RADIAD.</t>
  </si>
  <si>
    <t>68264886AB</t>
  </si>
  <si>
    <t>RESONADOR FILTRO AIR</t>
  </si>
  <si>
    <t>6TP202X9AA</t>
  </si>
  <si>
    <t>TAPIC.PUERTA TRA.D.</t>
  </si>
  <si>
    <t>68276780AD</t>
  </si>
  <si>
    <t>VIDRIO PUERTA TRA.D.</t>
  </si>
  <si>
    <t>https://www.ebay.com/sch/6028/i.html?_nkw=68310029AC&amp;LH_BIN=1&amp;LH_ItemCondition=1000&amp;LH_Shipped_to=US</t>
  </si>
  <si>
    <t>https://www.ebay.com/sch/6028/i.html?_nkw=7KB10TX7AA&amp;LH_BIN=1&amp;LH_ItemCondition=1000&amp;LH_Shipped_to=US</t>
  </si>
  <si>
    <t>https://www.ebay.com/sch/6028/i.html?_nkw=68339036AC&amp;LH_BIN=1&amp;LH_ItemCondition=1000&amp;LH_Shipped_to=US</t>
  </si>
  <si>
    <t>https://www.ebay.com/sch/6028/i.html?_nkw=68285876AE&amp;LH_BIN=1&amp;LH_ItemCondition=1000&amp;LH_Shipped_to=US</t>
  </si>
  <si>
    <t>https://www.ebay.com/sch/6028/i.html?_nkw=68275584AD&amp;LH_BIN=1&amp;LH_ItemCondition=1000&amp;LH_Shipped_to=US</t>
  </si>
  <si>
    <t>https://www.ebay.com/sch/6028/i.html?_nkw=5YK45TX7AG&amp;LH_BIN=1&amp;LH_ItemCondition=1000&amp;LH_Shipped_to=US</t>
  </si>
  <si>
    <t>https://www.ebay.com/sch/6028/i.html?_nkw=68292930AD&amp;LH_BIN=1&amp;LH_ItemCondition=1000&amp;LH_Shipped_to=US</t>
  </si>
  <si>
    <t>https://www.ebay.com/sch/6028/i.html?_nkw=68292928AD&amp;LH_BIN=1&amp;LH_ItemCondition=1000&amp;LH_Shipped_to=US</t>
  </si>
  <si>
    <t>https://www.ebay.com/sch/6028/i.html?_nkw=68294550AC&amp;LH_BIN=1&amp;LH_ItemCondition=1000&amp;LH_Shipped_to=US</t>
  </si>
  <si>
    <t>https://www.ebay.com/sch/6028/i.html?_nkw=68264886AB&amp;LH_BIN=1&amp;LH_ItemCondition=1000&amp;LH_Shipped_to=US</t>
  </si>
  <si>
    <t>https://www.ebay.com/sch/6028/i.html?_nkw=6TP202X9AA&amp;LH_BIN=1&amp;LH_ItemCondition=1000&amp;LH_Shipped_to=US</t>
  </si>
  <si>
    <t>https://www.ebay.com/sch/6028/i.html?_nkw=68276780AD&amp;LH_BIN=1&amp;LH_ItemCondition=1000&amp;LH_Shipped_to=US</t>
  </si>
  <si>
    <t>https://www.moparpartsgiant.com/parts/mopar-silencer-hood~68310029ac.html</t>
  </si>
  <si>
    <t>https://www.moparpartsgiant.com/parts/mopar-headliner~7kb10tx7aa.html</t>
  </si>
  <si>
    <t>https://www.moparpartsgiant.com/parts/mopar-blade-front-wiper~68339036ac.html</t>
  </si>
  <si>
    <t>https://www.moparpartsgiant.com/parts/mopar-w-strip-rear-door-belt-outer~68285876ae.html</t>
  </si>
  <si>
    <t>https://www.moparpartsgiant.com/parts/mopar-w-shield~68275584ad.html</t>
  </si>
  <si>
    <t>https://www.moparpartsgiant.com/parts/mopar-front-door~5yk45tx7ag.html</t>
  </si>
  <si>
    <t>https://www.moparpartsgiant.com/parts/mopar-applique-b-pillar~68292930ad.html</t>
  </si>
  <si>
    <t>https://www.moparpartsgiant.com/parts/mopar-applique-b-pillar~68292928ad.html</t>
  </si>
  <si>
    <t>https://www.moparpartsgiant.com/parts/mopar-seal-radiator-upper~68294550ac.html</t>
  </si>
  <si>
    <t>https://www.moparpartsgiant.com/parts/mopar-resonator-air-cleaner~68264886ab.html</t>
  </si>
  <si>
    <t>https://www.moparpartsgiant.com/parts/mopar-rear-door-trim~6tp202x9aa.html</t>
  </si>
  <si>
    <t>https://www.moparpartsgiant.com/parts/mopar-glass-rear-door~68276780ad.html</t>
  </si>
  <si>
    <t>COT. 6060  |  S0238930  |  Latina Seguros  |  MITSUBISHI  |  ABM6937 (2024)  |  MMBJJKL10RH005445  |  COMPUAUTO  |  19/08/2026 14:44</t>
  </si>
  <si>
    <t>5905A179</t>
  </si>
  <si>
    <t>5900B087</t>
  </si>
  <si>
    <t>7812A292</t>
  </si>
  <si>
    <t>1360A193</t>
  </si>
  <si>
    <t>DEFLECTOR RADIADOR</t>
  </si>
  <si>
    <t>8260A493</t>
  </si>
  <si>
    <t>MN124448</t>
  </si>
  <si>
    <t>ESP.RETROVISOR INT.</t>
  </si>
  <si>
    <t>7632D321</t>
  </si>
  <si>
    <t>260729161609054</t>
  </si>
  <si>
    <t>ESTRIBO EXT LH</t>
  </si>
  <si>
    <t>260729161609076</t>
  </si>
  <si>
    <t>ESTRIBO EXT RH</t>
  </si>
  <si>
    <t>5253BJ71</t>
  </si>
  <si>
    <t>ESTRIBO I.</t>
  </si>
  <si>
    <t>8301D373</t>
  </si>
  <si>
    <t>5220AG81</t>
  </si>
  <si>
    <t>5370C153</t>
  </si>
  <si>
    <t>GUARDAPOL.DEL.I.DEL.</t>
  </si>
  <si>
    <t>5370C149</t>
  </si>
  <si>
    <t>GUARDAPOL.DEL.I.TRA.</t>
  </si>
  <si>
    <t>5705A901</t>
  </si>
  <si>
    <t>GUIA VIDRIO DEL.I.</t>
  </si>
  <si>
    <t>5705A903</t>
  </si>
  <si>
    <t>GUIA VIDRIO INF.I.</t>
  </si>
  <si>
    <t>MN135001</t>
  </si>
  <si>
    <t>260729161609092</t>
  </si>
  <si>
    <t>LUZ GUARDAFANG LH</t>
  </si>
  <si>
    <t>5716A585</t>
  </si>
  <si>
    <t>MANILLA EXT.DEL.I.</t>
  </si>
  <si>
    <t>5290C955</t>
  </si>
  <si>
    <t>MARCO TECHO INT.I.</t>
  </si>
  <si>
    <t>6102B750</t>
  </si>
  <si>
    <t>6400HW140P</t>
  </si>
  <si>
    <t>5311D833</t>
  </si>
  <si>
    <t>PARAL A EXT.I.</t>
  </si>
  <si>
    <t>5311D835</t>
  </si>
  <si>
    <t>PARAL A INT.I.SUP.</t>
  </si>
  <si>
    <t>5312C391</t>
  </si>
  <si>
    <t>PARAL B I.EXT.</t>
  </si>
  <si>
    <t>5312B971</t>
  </si>
  <si>
    <t>PARAL B INT.I.</t>
  </si>
  <si>
    <t>5313B395</t>
  </si>
  <si>
    <t>PARAL TRA.I.</t>
  </si>
  <si>
    <t>7450B288</t>
  </si>
  <si>
    <t>7221C425</t>
  </si>
  <si>
    <t>PLAT.INT.ESPEJO RE.I</t>
  </si>
  <si>
    <t>7400A426</t>
  </si>
  <si>
    <t>PLATINA D.TECHO</t>
  </si>
  <si>
    <t>7400A425</t>
  </si>
  <si>
    <t>PLATINA I.TECHO</t>
  </si>
  <si>
    <t>5370B499</t>
  </si>
  <si>
    <t>PROTEC.DEL.MOTOR</t>
  </si>
  <si>
    <t>1360A129</t>
  </si>
  <si>
    <t>PROTEC.RADIADOR</t>
  </si>
  <si>
    <t>5700B793</t>
  </si>
  <si>
    <t>1350A817</t>
  </si>
  <si>
    <t>6400F912</t>
  </si>
  <si>
    <t>REC.INF.PARACHOQ.DL.</t>
  </si>
  <si>
    <t>5311D931</t>
  </si>
  <si>
    <t>REF.INF.PARAL A I.</t>
  </si>
  <si>
    <t>5312B801</t>
  </si>
  <si>
    <t>REF.LARGUERO I.TECHO</t>
  </si>
  <si>
    <t>5312B849</t>
  </si>
  <si>
    <t>REF.PARAL B I.</t>
  </si>
  <si>
    <t>5313B393</t>
  </si>
  <si>
    <t>REF.PARAL TRA.I.</t>
  </si>
  <si>
    <t>5253AA91</t>
  </si>
  <si>
    <t>REFU.ESTRIBO I.</t>
  </si>
  <si>
    <t>5311C879</t>
  </si>
  <si>
    <t>REFU.SUP.PARAL A I.</t>
  </si>
  <si>
    <t>6402A534</t>
  </si>
  <si>
    <t>6400F777</t>
  </si>
  <si>
    <t>SOP.EXT.I.PARACH.DL.</t>
  </si>
  <si>
    <t>6400J287</t>
  </si>
  <si>
    <t>8260A497</t>
  </si>
  <si>
    <t>TAPA DEPOS.LIMPIAD.</t>
  </si>
  <si>
    <t>7221D717XB</t>
  </si>
  <si>
    <t>TAPICER.PUERTA DL.I.</t>
  </si>
  <si>
    <t>5290D014</t>
  </si>
  <si>
    <t>TECHO</t>
  </si>
  <si>
    <t>8260A482</t>
  </si>
  <si>
    <t>TUBO DEP.LIMPIADORES</t>
  </si>
  <si>
    <t>8723A309</t>
  </si>
  <si>
    <t>VARILLA ANTENA</t>
  </si>
  <si>
    <t>8529.10.10.00</t>
  </si>
  <si>
    <t>5706A957</t>
  </si>
  <si>
    <t>VIDRIO PUER.DL.I.</t>
  </si>
  <si>
    <t>6400J914</t>
  </si>
  <si>
    <t>https://www.ebay.com/sch/6028/i.html?_nkw=5905A179&amp;LH_BIN=1&amp;LH_ItemCondition=1000&amp;LH_Shipped_to=US</t>
  </si>
  <si>
    <t>https://www.ebay.com/sch/6028/i.html?_nkw=5900B087&amp;LH_BIN=1&amp;LH_ItemCondition=1000&amp;LH_Shipped_to=US</t>
  </si>
  <si>
    <t>https://www.ebay.com/sch/6028/i.html?_nkw=7812A292&amp;LH_BIN=1&amp;LH_ItemCondition=1000&amp;LH_Shipped_to=US</t>
  </si>
  <si>
    <t>https://www.ebay.com/sch/6028/i.html?_nkw=1360A193&amp;LH_BIN=1&amp;LH_ItemCondition=1000&amp;LH_Shipped_to=US</t>
  </si>
  <si>
    <t>https://www.ebay.com/sch/6028/i.html?_nkw=8260A493&amp;LH_BIN=1&amp;LH_ItemCondition=1000&amp;LH_Shipped_to=US</t>
  </si>
  <si>
    <t>https://www.ebay.com/sch/6028/i.html?_nkw=MN124448&amp;LH_BIN=1&amp;LH_ItemCondition=1000&amp;LH_Shipped_to=US</t>
  </si>
  <si>
    <t>https://www.ebay.com/sch/6028/i.html?_nkw=7632D321&amp;LH_BIN=1&amp;LH_ItemCondition=1000&amp;LH_Shipped_to=US</t>
  </si>
  <si>
    <t>https://www.ebay.com/sch/6028/i.html?_nkw=260729161609054&amp;LH_BIN=1&amp;LH_ItemCondition=1000&amp;LH_Shipped_to=US</t>
  </si>
  <si>
    <t>https://www.ebay.com/sch/6028/i.html?_nkw=260729161609076&amp;LH_BIN=1&amp;LH_ItemCondition=1000&amp;LH_Shipped_to=US</t>
  </si>
  <si>
    <t>https://www.ebay.com/sch/6028/i.html?_nkw=5253BJ71&amp;LH_BIN=1&amp;LH_ItemCondition=1000&amp;LH_Shipped_to=US</t>
  </si>
  <si>
    <t>https://www.ebay.com/sch/6028/i.html?_nkw=8301D373&amp;LH_BIN=1&amp;LH_ItemCondition=1000&amp;LH_Shipped_to=US</t>
  </si>
  <si>
    <t>https://www.ebay.com/sch/6028/i.html?_nkw=5220AG81&amp;LH_BIN=1&amp;LH_ItemCondition=1000&amp;LH_Shipped_to=US</t>
  </si>
  <si>
    <t>https://www.ebay.com/sch/6028/i.html?_nkw=5370C153&amp;LH_BIN=1&amp;LH_ItemCondition=1000&amp;LH_Shipped_to=US</t>
  </si>
  <si>
    <t>https://www.ebay.com/sch/6028/i.html?_nkw=5370C149&amp;LH_BIN=1&amp;LH_ItemCondition=1000&amp;LH_Shipped_to=US</t>
  </si>
  <si>
    <t>https://www.ebay.com/sch/6028/i.html?_nkw=5705A901&amp;LH_BIN=1&amp;LH_ItemCondition=1000&amp;LH_Shipped_to=US</t>
  </si>
  <si>
    <t>https://www.ebay.com/sch/6028/i.html?_nkw=5705A903&amp;LH_BIN=1&amp;LH_ItemCondition=1000&amp;LH_Shipped_to=US</t>
  </si>
  <si>
    <t>https://www.ebay.com/sch/6028/i.html?_nkw=MN135001&amp;LH_BIN=1&amp;LH_ItemCondition=1000&amp;LH_Shipped_to=US</t>
  </si>
  <si>
    <t>https://www.ebay.com/sch/6028/i.html?_nkw=260729161609092&amp;LH_BIN=1&amp;LH_ItemCondition=1000&amp;LH_Shipped_to=US</t>
  </si>
  <si>
    <t>https://www.ebay.com/sch/6028/i.html?_nkw=5716A585&amp;LH_BIN=1&amp;LH_ItemCondition=1000&amp;LH_Shipped_to=US</t>
  </si>
  <si>
    <t>https://www.ebay.com/sch/6028/i.html?_nkw=5290C955&amp;LH_BIN=1&amp;LH_ItemCondition=1000&amp;LH_Shipped_to=US</t>
  </si>
  <si>
    <t>https://www.ebay.com/sch/6028/i.html?_nkw=6102B750&amp;LH_BIN=1&amp;LH_ItemCondition=1000&amp;LH_Shipped_to=US</t>
  </si>
  <si>
    <t>https://www.ebay.com/sch/6028/i.html?_nkw=6400HW140P&amp;LH_BIN=1&amp;LH_ItemCondition=1000&amp;LH_Shipped_to=US</t>
  </si>
  <si>
    <t>https://www.ebay.com/sch/6028/i.html?_nkw=5311D833&amp;LH_BIN=1&amp;LH_ItemCondition=1000&amp;LH_Shipped_to=US</t>
  </si>
  <si>
    <t>https://www.ebay.com/sch/6028/i.html?_nkw=5311D835&amp;LH_BIN=1&amp;LH_ItemCondition=1000&amp;LH_Shipped_to=US</t>
  </si>
  <si>
    <t>https://www.ebay.com/sch/6028/i.html?_nkw=5312C391&amp;LH_BIN=1&amp;LH_ItemCondition=1000&amp;LH_Shipped_to=US</t>
  </si>
  <si>
    <t>https://www.ebay.com/sch/6028/i.html?_nkw=5312B971&amp;LH_BIN=1&amp;LH_ItemCondition=1000&amp;LH_Shipped_to=US</t>
  </si>
  <si>
    <t>https://www.ebay.com/sch/6028/i.html?_nkw=5313B395&amp;LH_BIN=1&amp;LH_ItemCondition=1000&amp;LH_Shipped_to=US</t>
  </si>
  <si>
    <t>https://www.ebay.com/sch/6028/i.html?_nkw=7450B288&amp;LH_BIN=1&amp;LH_ItemCondition=1000&amp;LH_Shipped_to=US</t>
  </si>
  <si>
    <t>https://www.ebay.com/sch/6028/i.html?_nkw=7221C425&amp;LH_BIN=1&amp;LH_ItemCondition=1000&amp;LH_Shipped_to=US</t>
  </si>
  <si>
    <t>https://www.ebay.com/sch/6028/i.html?_nkw=7400A426&amp;LH_BIN=1&amp;LH_ItemCondition=1000&amp;LH_Shipped_to=US</t>
  </si>
  <si>
    <t>https://www.ebay.com/sch/6028/i.html?_nkw=7400A425&amp;LH_BIN=1&amp;LH_ItemCondition=1000&amp;LH_Shipped_to=US</t>
  </si>
  <si>
    <t>https://www.ebay.com/sch/6028/i.html?_nkw=5370B499&amp;LH_BIN=1&amp;LH_ItemCondition=1000&amp;LH_Shipped_to=US</t>
  </si>
  <si>
    <t>https://www.ebay.com/sch/6028/i.html?_nkw=1360A129&amp;LH_BIN=1&amp;LH_ItemCondition=1000&amp;LH_Shipped_to=US</t>
  </si>
  <si>
    <t>https://www.ebay.com/sch/6028/i.html?_nkw=5700B793&amp;LH_BIN=1&amp;LH_ItemCondition=1000&amp;LH_Shipped_to=US</t>
  </si>
  <si>
    <t>https://www.ebay.com/sch/6028/i.html?_nkw=1350A817&amp;LH_BIN=1&amp;LH_ItemCondition=1000&amp;LH_Shipped_to=US</t>
  </si>
  <si>
    <t>https://www.ebay.com/sch/6028/i.html?_nkw=6400F912&amp;LH_BIN=1&amp;LH_ItemCondition=1000&amp;LH_Shipped_to=US</t>
  </si>
  <si>
    <t>https://www.ebay.com/sch/6028/i.html?_nkw=5311D931&amp;LH_BIN=1&amp;LH_ItemCondition=1000&amp;LH_Shipped_to=US</t>
  </si>
  <si>
    <t>https://www.ebay.com/sch/6028/i.html?_nkw=5312B801&amp;LH_BIN=1&amp;LH_ItemCondition=1000&amp;LH_Shipped_to=US</t>
  </si>
  <si>
    <t>https://www.ebay.com/sch/6028/i.html?_nkw=5312B849&amp;LH_BIN=1&amp;LH_ItemCondition=1000&amp;LH_Shipped_to=US</t>
  </si>
  <si>
    <t>https://www.ebay.com/sch/6028/i.html?_nkw=5313B393&amp;LH_BIN=1&amp;LH_ItemCondition=1000&amp;LH_Shipped_to=US</t>
  </si>
  <si>
    <t>https://www.ebay.com/sch/6028/i.html?_nkw=5253AA91&amp;LH_BIN=1&amp;LH_ItemCondition=1000&amp;LH_Shipped_to=US</t>
  </si>
  <si>
    <t>https://www.ebay.com/sch/6028/i.html?_nkw=5311C879&amp;LH_BIN=1&amp;LH_ItemCondition=1000&amp;LH_Shipped_to=US</t>
  </si>
  <si>
    <t>https://www.ebay.com/sch/6028/i.html?_nkw=6402A534&amp;LH_BIN=1&amp;LH_ItemCondition=1000&amp;LH_Shipped_to=US</t>
  </si>
  <si>
    <t>https://www.ebay.com/sch/6028/i.html?_nkw=6400F777&amp;LH_BIN=1&amp;LH_ItemCondition=1000&amp;LH_Shipped_to=US</t>
  </si>
  <si>
    <t>https://www.ebay.com/sch/6028/i.html?_nkw=6400J287&amp;LH_BIN=1&amp;LH_ItemCondition=1000&amp;LH_Shipped_to=US</t>
  </si>
  <si>
    <t>https://www.ebay.com/sch/6028/i.html?_nkw=8260A497&amp;LH_BIN=1&amp;LH_ItemCondition=1000&amp;LH_Shipped_to=US</t>
  </si>
  <si>
    <t>https://www.ebay.com/sch/6028/i.html?_nkw=7221D717XB&amp;LH_BIN=1&amp;LH_ItemCondition=1000&amp;LH_Shipped_to=US</t>
  </si>
  <si>
    <t>https://www.ebay.com/sch/6028/i.html?_nkw=5290D014&amp;LH_BIN=1&amp;LH_ItemCondition=1000&amp;LH_Shipped_to=US</t>
  </si>
  <si>
    <t>https://www.ebay.com/sch/6028/i.html?_nkw=8260A482&amp;LH_BIN=1&amp;LH_ItemCondition=1000&amp;LH_Shipped_to=US</t>
  </si>
  <si>
    <t>https://www.ebay.com/sch/6028/i.html?_nkw=8723A309&amp;LH_BIN=1&amp;LH_ItemCondition=1000&amp;LH_Shipped_to=US</t>
  </si>
  <si>
    <t>https://www.ebay.com/sch/6028/i.html?_nkw=5706A957&amp;LH_BIN=1&amp;LH_ItemCondition=1000&amp;LH_Shipped_to=US</t>
  </si>
  <si>
    <t>https://www.ebay.com/sch/6028/i.html?_nkw=6400J914&amp;LH_BIN=1&amp;LH_ItemCondition=1000&amp;LH_Shipped_to=US</t>
  </si>
  <si>
    <t>https://partsouq.com/en/search/all?q=5905A179</t>
  </si>
  <si>
    <t>https://partsouq.com/en/search/all?q=5900B087</t>
  </si>
  <si>
    <t>https://partsouq.com/en/search/all?q=7812A292</t>
  </si>
  <si>
    <t>https://partsouq.com/en/search/all?q=1360A193</t>
  </si>
  <si>
    <t>https://partsouq.com/en/search/all?q=8260A493</t>
  </si>
  <si>
    <t>https://partsouq.com/en/search/all?q=MN124448</t>
  </si>
  <si>
    <t>https://partsouq.com/en/search/all?q=7632D321</t>
  </si>
  <si>
    <t>https://partsouq.com/en/search/all?q=5253BJ71</t>
  </si>
  <si>
    <t>https://partsouq.com/en/search/all?q=8301D373</t>
  </si>
  <si>
    <t>https://partsouq.com/en/search/all?q=5220AG81</t>
  </si>
  <si>
    <t>https://partsouq.com/en/search/all?q=5370C153</t>
  </si>
  <si>
    <t>https://partsouq.com/en/search/all?q=5370C149</t>
  </si>
  <si>
    <t>https://partsouq.com/en/search/all?q=5705A901</t>
  </si>
  <si>
    <t>https://partsouq.com/en/search/all?q=5705A903</t>
  </si>
  <si>
    <t>https://partsouq.com/en/search/all?q=MN135001</t>
  </si>
  <si>
    <t>https://partsouq.com/en/search/all?q=5716A585</t>
  </si>
  <si>
    <t>https://partsouq.com/en/search/all?q=5290C955</t>
  </si>
  <si>
    <t>https://partsouq.com/en/search/all?q=6102B750</t>
  </si>
  <si>
    <t>https://partsouq.com/en/search/all?q=6400HW140P</t>
  </si>
  <si>
    <t>https://partsouq.com/en/search/all?q=5311D833</t>
  </si>
  <si>
    <t>https://partsouq.com/en/search/all?q=5311D835</t>
  </si>
  <si>
    <t>https://partsouq.com/en/search/all?q=5312C391</t>
  </si>
  <si>
    <t>https://partsouq.com/en/search/all?q=5312B971</t>
  </si>
  <si>
    <t>https://partsouq.com/en/search/all?q=5313B395</t>
  </si>
  <si>
    <t>https://partsouq.com/en/search/all?q=7450B288</t>
  </si>
  <si>
    <t>https://partsouq.com/en/search/all?q=7221C425</t>
  </si>
  <si>
    <t>https://partsouq.com/en/search/all?q=7400A426</t>
  </si>
  <si>
    <t>https://partsouq.com/en/search/all?q=7400A425</t>
  </si>
  <si>
    <t>https://partsouq.com/en/search/all?q=5370B499</t>
  </si>
  <si>
    <t>https://partsouq.com/en/search/all?q=1360A129</t>
  </si>
  <si>
    <t>https://partsouq.com/en/search/all?q=5700B793</t>
  </si>
  <si>
    <t>https://partsouq.com/en/search/all?q=1350A817</t>
  </si>
  <si>
    <t>https://partsouq.com/en/search/all?q=6400F912</t>
  </si>
  <si>
    <t>https://partsouq.com/en/search/all?q=5311D931</t>
  </si>
  <si>
    <t>https://partsouq.com/en/search/all?q=5312B801</t>
  </si>
  <si>
    <t>https://partsouq.com/en/search/all?q=5312B849</t>
  </si>
  <si>
    <t>https://partsouq.com/en/search/all?q=5313B393</t>
  </si>
  <si>
    <t>https://partsouq.com/en/search/all?q=5253AA91</t>
  </si>
  <si>
    <t>https://partsouq.com/en/search/all?q=5311C879</t>
  </si>
  <si>
    <t>https://partsouq.com/en/search/all?q=6402A534</t>
  </si>
  <si>
    <t>https://partsouq.com/en/search/all?q=6400F777</t>
  </si>
  <si>
    <t>https://partsouq.com/en/search/all?q=6400J287</t>
  </si>
  <si>
    <t>https://partsouq.com/en/search/all?q=8260A497</t>
  </si>
  <si>
    <t>https://partsouq.com/en/search/all?q=7221D717XB</t>
  </si>
  <si>
    <t>https://partsouq.com/en/search/all?q=5290D014</t>
  </si>
  <si>
    <t>https://partsouq.com/en/search/all?q=8260A482</t>
  </si>
  <si>
    <t>https://partsouq.com/en/search/all?q=8723A309</t>
  </si>
  <si>
    <t>https://partsouq.com/en/search/all?q=5706A957</t>
  </si>
  <si>
    <t>https://partsouq.com/en/search/all?q=6400J914</t>
  </si>
  <si>
    <t>COT. 5990  |  GGMA1931  |  Latina Seguros  |  MERCEDES BENZ  |  GMA1931 (2018)  |  WDB906633KP632046  |  SERVIPRONTO  |  20/08/2026 11:37</t>
  </si>
  <si>
    <t>260806163019435</t>
  </si>
  <si>
    <t>2 BISAGRAS COMPTA LH</t>
  </si>
  <si>
    <t>260806163019451</t>
  </si>
  <si>
    <t>2 BISAGRAS COMPTA RH</t>
  </si>
  <si>
    <t>260806163019419</t>
  </si>
  <si>
    <t>3 LTS ACEITE DIFEREN</t>
  </si>
  <si>
    <t>8421.23.00.10</t>
  </si>
  <si>
    <t>260806163019324</t>
  </si>
  <si>
    <t>4 ABRAZADERAS PAQ TR</t>
  </si>
  <si>
    <t>4016.93.00.00</t>
  </si>
  <si>
    <t>260806163019393</t>
  </si>
  <si>
    <t>4 RETENDRS FUNDA DIF</t>
  </si>
  <si>
    <t>8415.XX.XX.XX</t>
  </si>
  <si>
    <t>260806163019403</t>
  </si>
  <si>
    <t>4 SEGUROS EJES FUNDA</t>
  </si>
  <si>
    <t>260806163019577</t>
  </si>
  <si>
    <t>AIRBAG COPILTO</t>
  </si>
  <si>
    <t>8708.95.00.00</t>
  </si>
  <si>
    <t>260806163019529</t>
  </si>
  <si>
    <t>AIRBAG PILOTO</t>
  </si>
  <si>
    <t>907 320 6202</t>
  </si>
  <si>
    <t>AMORTIGUADOR TRA.D.</t>
  </si>
  <si>
    <t>260806163019299</t>
  </si>
  <si>
    <t>ARO R16</t>
  </si>
  <si>
    <t>260806161925125</t>
  </si>
  <si>
    <t>BISEL SUP GDACH TRLH</t>
  </si>
  <si>
    <t>260806163019609</t>
  </si>
  <si>
    <t>CAUCHO LATERAL LH</t>
  </si>
  <si>
    <t>260806163019625</t>
  </si>
  <si>
    <t>CAUCHO LATERAL RH</t>
  </si>
  <si>
    <t>447 760 0060</t>
  </si>
  <si>
    <t>CIL.CERR.PUER.COND.</t>
  </si>
  <si>
    <t>260806163019514</t>
  </si>
  <si>
    <t>CINT SEG CENT CPLT</t>
  </si>
  <si>
    <t>260806163019498</t>
  </si>
  <si>
    <t>CINT SEG COPILT CPLT</t>
  </si>
  <si>
    <t>260806163019482</t>
  </si>
  <si>
    <t>CINT SEG PILOTO CPLT</t>
  </si>
  <si>
    <t>260806163019385</t>
  </si>
  <si>
    <t>EJE POST RH</t>
  </si>
  <si>
    <t>8483.10.99.00</t>
  </si>
  <si>
    <t>910 810 0400 9051</t>
  </si>
  <si>
    <t>ESPEJO LAT.D.CPL.</t>
  </si>
  <si>
    <t>910 810 0300 9051</t>
  </si>
  <si>
    <t>ESPEJO LAT.I.CPL.</t>
  </si>
  <si>
    <t>260806163019370</t>
  </si>
  <si>
    <t>FUNDA DIFERENCIAL</t>
  </si>
  <si>
    <t>8483.90.40.00</t>
  </si>
  <si>
    <t>910 671 0200</t>
  </si>
  <si>
    <t>GOM.VIDR.TRIAN.DL.I.</t>
  </si>
  <si>
    <t>910 881 0000</t>
  </si>
  <si>
    <t>260806163019356</t>
  </si>
  <si>
    <t>GUIA PAQUETES TR RH</t>
  </si>
  <si>
    <t>260806161925157</t>
  </si>
  <si>
    <t>GUIA PLAT DL LAT LH</t>
  </si>
  <si>
    <t>260806161925110</t>
  </si>
  <si>
    <t>GUIA PLAT DL LAT RH</t>
  </si>
  <si>
    <t>260806162237438</t>
  </si>
  <si>
    <t>GUIA PLAT PARAL LH</t>
  </si>
  <si>
    <t>260806161925141</t>
  </si>
  <si>
    <t>GUIA PLAT TR LAT LH</t>
  </si>
  <si>
    <t>260806161925094</t>
  </si>
  <si>
    <t>GUIA PLAT TR LAT RH</t>
  </si>
  <si>
    <t>910 725 0400</t>
  </si>
  <si>
    <t>GUIA VIDRIO I.</t>
  </si>
  <si>
    <t>260806163019466</t>
  </si>
  <si>
    <t>MANIJA EXT PTA TR LH</t>
  </si>
  <si>
    <t>910 760 3700 9B27</t>
  </si>
  <si>
    <t>260806163019561</t>
  </si>
  <si>
    <t>MODULO AIRBAG</t>
  </si>
  <si>
    <t>8414.90.10.00</t>
  </si>
  <si>
    <t>260806170639990</t>
  </si>
  <si>
    <t>MOLDURA GFDANGO LH</t>
  </si>
  <si>
    <t>260806162237422</t>
  </si>
  <si>
    <t>MOLDURA PARAL CENTLH</t>
  </si>
  <si>
    <t>260806161925173</t>
  </si>
  <si>
    <t>MOLDURA PTA TR LH</t>
  </si>
  <si>
    <t>260806163019641</t>
  </si>
  <si>
    <t>MOTOR ARRANQUE</t>
  </si>
  <si>
    <t>260806163019315</t>
  </si>
  <si>
    <t>NANKANG 235 65R16</t>
  </si>
  <si>
    <t>910 670 0000</t>
  </si>
  <si>
    <t>907 885 5600 9K83</t>
  </si>
  <si>
    <t>910 760 4000 9B27</t>
  </si>
  <si>
    <t>PLAT.MANIL.PUE.DL.I.</t>
  </si>
  <si>
    <t>910 697 1000 9678</t>
  </si>
  <si>
    <t>PLATINA PUERTA DL.I.</t>
  </si>
  <si>
    <t>260806170640056</t>
  </si>
  <si>
    <t>PROT DEL GUARD TR D</t>
  </si>
  <si>
    <t>260806170640007</t>
  </si>
  <si>
    <t>PROT DEL GUARD TR I</t>
  </si>
  <si>
    <t>260806170640023</t>
  </si>
  <si>
    <t>PROT TRA GUARD TR D</t>
  </si>
  <si>
    <t>260806170640040</t>
  </si>
  <si>
    <t>PROT TRA GUARD TR I</t>
  </si>
  <si>
    <t>910 720 2400</t>
  </si>
  <si>
    <t>910 811 0000 9051</t>
  </si>
  <si>
    <t>RECUBRIM.PARAL A I.</t>
  </si>
  <si>
    <t>260806163019545</t>
  </si>
  <si>
    <t>SERPENTIN AIRBAG</t>
  </si>
  <si>
    <t>910 820 0100</t>
  </si>
  <si>
    <t>910 820 0000</t>
  </si>
  <si>
    <t>STOP TRA.I.</t>
  </si>
  <si>
    <t>260806163019593</t>
  </si>
  <si>
    <t>TAPA AIRBAG COPILTO</t>
  </si>
  <si>
    <t>260806163019340</t>
  </si>
  <si>
    <t>TAPACUBO ARO TR RH</t>
  </si>
  <si>
    <t>910 725 0800</t>
  </si>
  <si>
    <t>VIDRI.TRIANG.DEL.I.</t>
  </si>
  <si>
    <t>260806161925082</t>
  </si>
  <si>
    <t>VIDRIO PTA TR RH</t>
  </si>
  <si>
    <t>https://www.ebay.com/sch/6028/i.html?_nkw=260806163019435&amp;LH_BIN=1&amp;LH_ItemCondition=1000&amp;LH_Shipped_to=US</t>
  </si>
  <si>
    <t>https://www.ebay.com/sch/6028/i.html?_nkw=260806163019451&amp;LH_BIN=1&amp;LH_ItemCondition=1000&amp;LH_Shipped_to=US</t>
  </si>
  <si>
    <t>https://www.ebay.com/sch/6028/i.html?_nkw=260806163019419&amp;LH_BIN=1&amp;LH_ItemCondition=1000&amp;LH_Shipped_to=US</t>
  </si>
  <si>
    <t>https://www.ebay.com/sch/6028/i.html?_nkw=260806163019324&amp;LH_BIN=1&amp;LH_ItemCondition=1000&amp;LH_Shipped_to=US</t>
  </si>
  <si>
    <t>https://www.ebay.com/sch/6028/i.html?_nkw=260806163019393&amp;LH_BIN=1&amp;LH_ItemCondition=1000&amp;LH_Shipped_to=US</t>
  </si>
  <si>
    <t>https://www.ebay.com/sch/6028/i.html?_nkw=260806163019403&amp;LH_BIN=1&amp;LH_ItemCondition=1000&amp;LH_Shipped_to=US</t>
  </si>
  <si>
    <t>https://www.ebay.com/sch/6028/i.html?_nkw=260806163019577&amp;LH_BIN=1&amp;LH_ItemCondition=1000&amp;LH_Shipped_to=US</t>
  </si>
  <si>
    <t>https://www.ebay.com/sch/6028/i.html?_nkw=260806163019529&amp;LH_BIN=1&amp;LH_ItemCondition=1000&amp;LH_Shipped_to=US</t>
  </si>
  <si>
    <t>https://www.ebay.com/sch/6028/i.html?_nkw=9073206202&amp;LH_BIN=1&amp;LH_ItemCondition=1000&amp;LH_Shipped_to=US</t>
  </si>
  <si>
    <t>https://www.ebay.com/sch/6028/i.html?_nkw=260806163019299&amp;LH_BIN=1&amp;LH_ItemCondition=1000&amp;LH_Shipped_to=US</t>
  </si>
  <si>
    <t>https://www.ebay.com/sch/6028/i.html?_nkw=260806161925125&amp;LH_BIN=1&amp;LH_ItemCondition=1000&amp;LH_Shipped_to=US</t>
  </si>
  <si>
    <t>https://www.ebay.com/sch/6028/i.html?_nkw=260806163019609&amp;LH_BIN=1&amp;LH_ItemCondition=1000&amp;LH_Shipped_to=US</t>
  </si>
  <si>
    <t>https://www.ebay.com/sch/6028/i.html?_nkw=260806163019625&amp;LH_BIN=1&amp;LH_ItemCondition=1000&amp;LH_Shipped_to=US</t>
  </si>
  <si>
    <t>https://www.ebay.com/sch/6028/i.html?_nkw=4477600060&amp;LH_BIN=1&amp;LH_ItemCondition=1000&amp;LH_Shipped_to=US</t>
  </si>
  <si>
    <t>https://www.ebay.com/sch/6028/i.html?_nkw=260806163019514&amp;LH_BIN=1&amp;LH_ItemCondition=1000&amp;LH_Shipped_to=US</t>
  </si>
  <si>
    <t>https://www.ebay.com/sch/6028/i.html?_nkw=260806163019498&amp;LH_BIN=1&amp;LH_ItemCondition=1000&amp;LH_Shipped_to=US</t>
  </si>
  <si>
    <t>https://www.ebay.com/sch/6028/i.html?_nkw=260806163019482&amp;LH_BIN=1&amp;LH_ItemCondition=1000&amp;LH_Shipped_to=US</t>
  </si>
  <si>
    <t>https://www.ebay.com/sch/6028/i.html?_nkw=260806163019385&amp;LH_BIN=1&amp;LH_ItemCondition=1000&amp;LH_Shipped_to=US</t>
  </si>
  <si>
    <t>https://www.ebay.com/sch/6028/i.html?_nkw=91081004009051&amp;LH_BIN=1&amp;LH_ItemCondition=1000&amp;LH_Shipped_to=US</t>
  </si>
  <si>
    <t>https://www.ebay.com/sch/6028/i.html?_nkw=91081003009051&amp;LH_BIN=1&amp;LH_ItemCondition=1000&amp;LH_Shipped_to=US</t>
  </si>
  <si>
    <t>https://www.ebay.com/sch/6028/i.html?_nkw=260806163019370&amp;LH_BIN=1&amp;LH_ItemCondition=1000&amp;LH_Shipped_to=US</t>
  </si>
  <si>
    <t>https://www.ebay.com/sch/6028/i.html?_nkw=9106710200&amp;LH_BIN=1&amp;LH_ItemCondition=1000&amp;LH_Shipped_to=US</t>
  </si>
  <si>
    <t>https://www.ebay.com/sch/6028/i.html?_nkw=9108810000&amp;LH_BIN=1&amp;LH_ItemCondition=1000&amp;LH_Shipped_to=US</t>
  </si>
  <si>
    <t>https://www.ebay.com/sch/6028/i.html?_nkw=260806163019356&amp;LH_BIN=1&amp;LH_ItemCondition=1000&amp;LH_Shipped_to=US</t>
  </si>
  <si>
    <t>https://www.ebay.com/sch/6028/i.html?_nkw=260806161925157&amp;LH_BIN=1&amp;LH_ItemCondition=1000&amp;LH_Shipped_to=US</t>
  </si>
  <si>
    <t>https://www.ebay.com/sch/6028/i.html?_nkw=260806161925110&amp;LH_BIN=1&amp;LH_ItemCondition=1000&amp;LH_Shipped_to=US</t>
  </si>
  <si>
    <t>https://www.ebay.com/sch/6028/i.html?_nkw=260806162237438&amp;LH_BIN=1&amp;LH_ItemCondition=1000&amp;LH_Shipped_to=US</t>
  </si>
  <si>
    <t>https://www.ebay.com/sch/6028/i.html?_nkw=260806161925141&amp;LH_BIN=1&amp;LH_ItemCondition=1000&amp;LH_Shipped_to=US</t>
  </si>
  <si>
    <t>https://www.ebay.com/sch/6028/i.html?_nkw=260806161925094&amp;LH_BIN=1&amp;LH_ItemCondition=1000&amp;LH_Shipped_to=US</t>
  </si>
  <si>
    <t>https://www.ebay.com/sch/6028/i.html?_nkw=9107250400&amp;LH_BIN=1&amp;LH_ItemCondition=1000&amp;LH_Shipped_to=US</t>
  </si>
  <si>
    <t>https://www.ebay.com/sch/6028/i.html?_nkw=260806163019466&amp;LH_BIN=1&amp;LH_ItemCondition=1000&amp;LH_Shipped_to=US</t>
  </si>
  <si>
    <t>https://www.ebay.com/sch/6028/i.html?_nkw=91076037009B27&amp;LH_BIN=1&amp;LH_ItemCondition=1000&amp;LH_Shipped_to=US</t>
  </si>
  <si>
    <t>https://www.ebay.com/sch/6028/i.html?_nkw=260806163019561&amp;LH_BIN=1&amp;LH_ItemCondition=1000&amp;LH_Shipped_to=US</t>
  </si>
  <si>
    <t>https://www.ebay.com/sch/6028/i.html?_nkw=260806170639990&amp;LH_BIN=1&amp;LH_ItemCondition=1000&amp;LH_Shipped_to=US</t>
  </si>
  <si>
    <t>https://www.ebay.com/sch/6028/i.html?_nkw=260806162237422&amp;LH_BIN=1&amp;LH_ItemCondition=1000&amp;LH_Shipped_to=US</t>
  </si>
  <si>
    <t>https://www.ebay.com/sch/6028/i.html?_nkw=260806161925173&amp;LH_BIN=1&amp;LH_ItemCondition=1000&amp;LH_Shipped_to=US</t>
  </si>
  <si>
    <t>https://www.ebay.com/sch/6028/i.html?_nkw=260806163019641&amp;LH_BIN=1&amp;LH_ItemCondition=1000&amp;LH_Shipped_to=US</t>
  </si>
  <si>
    <t>https://www.ebay.com/sch/6028/i.html?_nkw=260806163019315&amp;LH_BIN=1&amp;LH_ItemCondition=1000&amp;LH_Shipped_to=US</t>
  </si>
  <si>
    <t>https://www.ebay.com/sch/6028/i.html?_nkw=9106700000&amp;LH_BIN=1&amp;LH_ItemCondition=1000&amp;LH_Shipped_to=US</t>
  </si>
  <si>
    <t>https://www.ebay.com/sch/6028/i.html?_nkw=90788556009K83&amp;LH_BIN=1&amp;LH_ItemCondition=1000&amp;LH_Shipped_to=US</t>
  </si>
  <si>
    <t>https://www.ebay.com/sch/6028/i.html?_nkw=91076040009B27&amp;LH_BIN=1&amp;LH_ItemCondition=1000&amp;LH_Shipped_to=US</t>
  </si>
  <si>
    <t>https://www.ebay.com/sch/6028/i.html?_nkw=91069710009678&amp;LH_BIN=1&amp;LH_ItemCondition=1000&amp;LH_Shipped_to=US</t>
  </si>
  <si>
    <t>https://www.ebay.com/sch/6028/i.html?_nkw=260806170640056&amp;LH_BIN=1&amp;LH_ItemCondition=1000&amp;LH_Shipped_to=US</t>
  </si>
  <si>
    <t>https://www.ebay.com/sch/6028/i.html?_nkw=260806170640007&amp;LH_BIN=1&amp;LH_ItemCondition=1000&amp;LH_Shipped_to=US</t>
  </si>
  <si>
    <t>https://www.ebay.com/sch/6028/i.html?_nkw=260806170640023&amp;LH_BIN=1&amp;LH_ItemCondition=1000&amp;LH_Shipped_to=US</t>
  </si>
  <si>
    <t>https://www.ebay.com/sch/6028/i.html?_nkw=260806170640040&amp;LH_BIN=1&amp;LH_ItemCondition=1000&amp;LH_Shipped_to=US</t>
  </si>
  <si>
    <t>https://www.ebay.com/sch/6028/i.html?_nkw=9107202400&amp;LH_BIN=1&amp;LH_ItemCondition=1000&amp;LH_Shipped_to=US</t>
  </si>
  <si>
    <t>https://www.ebay.com/sch/6028/i.html?_nkw=91081100009051&amp;LH_BIN=1&amp;LH_ItemCondition=1000&amp;LH_Shipped_to=US</t>
  </si>
  <si>
    <t>https://www.ebay.com/sch/6028/i.html?_nkw=260806163019545&amp;LH_BIN=1&amp;LH_ItemCondition=1000&amp;LH_Shipped_to=US</t>
  </si>
  <si>
    <t>https://www.ebay.com/sch/6028/i.html?_nkw=9108200100&amp;LH_BIN=1&amp;LH_ItemCondition=1000&amp;LH_Shipped_to=US</t>
  </si>
  <si>
    <t>https://www.ebay.com/sch/6028/i.html?_nkw=9108200000&amp;LH_BIN=1&amp;LH_ItemCondition=1000&amp;LH_Shipped_to=US</t>
  </si>
  <si>
    <t>https://www.ebay.com/sch/6028/i.html?_nkw=260806163019593&amp;LH_BIN=1&amp;LH_ItemCondition=1000&amp;LH_Shipped_to=US</t>
  </si>
  <si>
    <t>https://www.ebay.com/sch/6028/i.html?_nkw=260806163019340&amp;LH_BIN=1&amp;LH_ItemCondition=1000&amp;LH_Shipped_to=US</t>
  </si>
  <si>
    <t>https://www.ebay.com/sch/6028/i.html?_nkw=9107250800&amp;LH_BIN=1&amp;LH_ItemCondition=1000&amp;LH_Shipped_to=US</t>
  </si>
  <si>
    <t>https://www.ebay.com/sch/6028/i.html?_nkw=260806161925082&amp;LH_BIN=1&amp;LH_ItemCondition=1000&amp;LH_Shipped_to=US</t>
  </si>
  <si>
    <t>https://www.mbpartsgiant.com/</t>
  </si>
  <si>
    <t>COT. 39901  |    |    |    |   ()  |    |    |  31/08/2026 19:01</t>
  </si>
  <si>
    <t>52618 42080</t>
  </si>
  <si>
    <t>52614 42140</t>
  </si>
  <si>
    <t>51441 42200</t>
  </si>
  <si>
    <t>51420 0R061</t>
  </si>
  <si>
    <t>52711 42140B0</t>
  </si>
  <si>
    <t>90916 A2027</t>
  </si>
  <si>
    <t>BANDA ALTERNADOR</t>
  </si>
  <si>
    <t>4010.31.00.00</t>
  </si>
  <si>
    <t>53410 42140</t>
  </si>
  <si>
    <t>53420 42140</t>
  </si>
  <si>
    <t>17881 F0070</t>
  </si>
  <si>
    <t>BOQUI.ADMISION AIRE</t>
  </si>
  <si>
    <t>53630 42140</t>
  </si>
  <si>
    <t>CABLE APERT.CAPO</t>
  </si>
  <si>
    <t>16592 25010</t>
  </si>
  <si>
    <t>CANAL AIRE INF.</t>
  </si>
  <si>
    <t>16594 25020</t>
  </si>
  <si>
    <t>CANAL AIRE SUP.</t>
  </si>
  <si>
    <t>53301 42150</t>
  </si>
  <si>
    <t>884A0 33010</t>
  </si>
  <si>
    <t>CONDENSADOR CPL.</t>
  </si>
  <si>
    <t>16681 25010</t>
  </si>
  <si>
    <t>DEFLECT.SUP.RADIADOR</t>
  </si>
  <si>
    <t>16593 25120</t>
  </si>
  <si>
    <t>DEFLECTOR AIRE D.</t>
  </si>
  <si>
    <t>16595 25110</t>
  </si>
  <si>
    <t>16470 F0020</t>
  </si>
  <si>
    <t>DEPOS.LIQUIDO REFRIG</t>
  </si>
  <si>
    <t>85315 42460</t>
  </si>
  <si>
    <t>12211 F0010</t>
  </si>
  <si>
    <t>DUCTO AIRE ACOND.</t>
  </si>
  <si>
    <t>16380 31010</t>
  </si>
  <si>
    <t>ELECTROVENTILAD.CPL.</t>
  </si>
  <si>
    <t>53141 33130</t>
  </si>
  <si>
    <t>EMBLEMA "TOYOTA"</t>
  </si>
  <si>
    <t>81210 02160</t>
  </si>
  <si>
    <t>81220 02160</t>
  </si>
  <si>
    <t>81145 42A32</t>
  </si>
  <si>
    <t>81185 42A32</t>
  </si>
  <si>
    <t>17700 25071</t>
  </si>
  <si>
    <t>FILTRO DE AIRE CPL.</t>
  </si>
  <si>
    <t>53811 42330</t>
  </si>
  <si>
    <t>53812 42360</t>
  </si>
  <si>
    <t>53875 42110</t>
  </si>
  <si>
    <t>53876 42120</t>
  </si>
  <si>
    <t>82121 42Q50</t>
  </si>
  <si>
    <t>JGO.CABLES MOTOR</t>
  </si>
  <si>
    <t>53707 42020</t>
  </si>
  <si>
    <t>LAMINA RECUB.DEL.D.</t>
  </si>
  <si>
    <t>53708 42020</t>
  </si>
  <si>
    <t>LAMINA RECUBR.DEL.I.</t>
  </si>
  <si>
    <t>76621 42130</t>
  </si>
  <si>
    <t>LODERA DEL.D.TRA.</t>
  </si>
  <si>
    <t>76622 42130</t>
  </si>
  <si>
    <t>LODERA DEL.I.TRA.</t>
  </si>
  <si>
    <t>16572 F0090</t>
  </si>
  <si>
    <t>MANGUERA RADIAD.D.</t>
  </si>
  <si>
    <t>16571 25070</t>
  </si>
  <si>
    <t>MANGUERA RADIAD.I.</t>
  </si>
  <si>
    <t>87209 42290</t>
  </si>
  <si>
    <t>MANGURA ADMIS.FRENO</t>
  </si>
  <si>
    <t>3917.33.90.00</t>
  </si>
  <si>
    <t>53115 42010</t>
  </si>
  <si>
    <t>MARCO DE PARRILLA</t>
  </si>
  <si>
    <t>53205 42906</t>
  </si>
  <si>
    <t>MARCO RADIADOR</t>
  </si>
  <si>
    <t>56101 42936</t>
  </si>
  <si>
    <t>52119 4A916</t>
  </si>
  <si>
    <t>53112 42140</t>
  </si>
  <si>
    <t>53113 42181C0</t>
  </si>
  <si>
    <t>52712 42070</t>
  </si>
  <si>
    <t>PLAT.EXT.D.PARACH.DL</t>
  </si>
  <si>
    <t>52713 42070</t>
  </si>
  <si>
    <t>PLAT.EXT.I.PARACH.DL</t>
  </si>
  <si>
    <t>75601 42170C0</t>
  </si>
  <si>
    <t>PLAT.GUARDAF.DEL.D.</t>
  </si>
  <si>
    <t>75602 42170C0</t>
  </si>
  <si>
    <t>PLAT.GUARDAF.DEL.I.</t>
  </si>
  <si>
    <t>55708 42230</t>
  </si>
  <si>
    <t>PLAT.REJIL.VENTILAC.</t>
  </si>
  <si>
    <t>75533 0R030</t>
  </si>
  <si>
    <t>PLATI.SUP.PARABRISAS</t>
  </si>
  <si>
    <t>16400 F0010</t>
  </si>
  <si>
    <t>RADIADOR CPL.</t>
  </si>
  <si>
    <t>52102 42110</t>
  </si>
  <si>
    <t>REF.D.PARACHOQ.DEL.</t>
  </si>
  <si>
    <t>52103 42110</t>
  </si>
  <si>
    <t>REF.I.PARACHOQ.DEL.</t>
  </si>
  <si>
    <t>88210 33120</t>
  </si>
  <si>
    <t>SENSOR RADAR DEL.</t>
  </si>
  <si>
    <t>52127 42220</t>
  </si>
  <si>
    <t>SOP.D.FARO ANTINIEBL</t>
  </si>
  <si>
    <t>52535 42050</t>
  </si>
  <si>
    <t>53202 42901</t>
  </si>
  <si>
    <t>SOP.D.RADIADOR</t>
  </si>
  <si>
    <t>12371 24060</t>
  </si>
  <si>
    <t>SOP.GOMA TRA.CEN.</t>
  </si>
  <si>
    <t>53895 42090</t>
  </si>
  <si>
    <t>SOP.GUARDAPOLVO DL.D</t>
  </si>
  <si>
    <t>53896 42080</t>
  </si>
  <si>
    <t>SOP.GUARDAPOLVO DL.I</t>
  </si>
  <si>
    <t>52128 42220</t>
  </si>
  <si>
    <t>52536 42080</t>
  </si>
  <si>
    <t>53203 42901</t>
  </si>
  <si>
    <t>SOP.I.RADIADOR</t>
  </si>
  <si>
    <t>16535 0V010</t>
  </si>
  <si>
    <t>16523 38010</t>
  </si>
  <si>
    <t>SOP.SUP.D.RADIADOR</t>
  </si>
  <si>
    <t>SOP.SUP.I.RADIADOR</t>
  </si>
  <si>
    <t>12321 24060</t>
  </si>
  <si>
    <t>SOPORTE MOTOR TRA.</t>
  </si>
  <si>
    <t>16401 36030</t>
  </si>
  <si>
    <t>TAPA RADIADOR</t>
  </si>
  <si>
    <t>52411 42908</t>
  </si>
  <si>
    <t>57104 42090</t>
  </si>
  <si>
    <t>TRAVIE.DL.INF.RADIAD</t>
  </si>
  <si>
    <t>17750 25050</t>
  </si>
  <si>
    <t>TUBO ADMISION AIRE</t>
  </si>
  <si>
    <t>88704 42730</t>
  </si>
  <si>
    <t>TUBO COMPR/EVAPOR.DL</t>
  </si>
  <si>
    <t>8414.80.10.00</t>
  </si>
  <si>
    <t>88707 42180</t>
  </si>
  <si>
    <t>TUBO COMPRES/EVAP.TR</t>
  </si>
  <si>
    <t>88711 42050</t>
  </si>
  <si>
    <t>TUBO CONDEN COMPR.</t>
  </si>
  <si>
    <t>25601 25011</t>
  </si>
  <si>
    <t>TUBO EGR.</t>
  </si>
  <si>
    <t>8708.92.00.00</t>
  </si>
  <si>
    <t>16897 F0040</t>
  </si>
  <si>
    <t>TUBO ENTRADA RADIAD.</t>
  </si>
  <si>
    <t>88710 42120</t>
  </si>
  <si>
    <t>TUBO EVAPOR CONDENS.</t>
  </si>
  <si>
    <t>25680 25010</t>
  </si>
  <si>
    <t>TUBO RADIADOR EGR</t>
  </si>
  <si>
    <t>87209 42300</t>
  </si>
  <si>
    <t>TUBO SALIDA CALEFAC.</t>
  </si>
  <si>
    <t>25860 25040</t>
  </si>
  <si>
    <t>VALVULA VACIO</t>
  </si>
  <si>
    <t>52021 42190</t>
  </si>
  <si>
    <t>https://www.ebay.com/sch/6028/i.html?_nkw=5261842080&amp;LH_BIN=1&amp;LH_ItemCondition=1000&amp;LH_Shipped_to=US</t>
  </si>
  <si>
    <t>https://www.ebay.com/sch/6028/i.html?_nkw=5261442140&amp;LH_BIN=1&amp;LH_ItemCondition=1000&amp;LH_Shipped_to=US</t>
  </si>
  <si>
    <t>https://www.ebay.com/sch/6028/i.html?_nkw=514200R061&amp;LH_BIN=1&amp;LH_ItemCondition=1000&amp;LH_Shipped_to=US</t>
  </si>
  <si>
    <t>https://www.ebay.com/sch/6028/i.html?_nkw=90916A2027&amp;LH_BIN=1&amp;LH_ItemCondition=1000&amp;LH_Shipped_to=US</t>
  </si>
  <si>
    <t>https://www.ebay.com/sch/6028/i.html?_nkw=5341042140&amp;LH_BIN=1&amp;LH_ItemCondition=1000&amp;LH_Shipped_to=US</t>
  </si>
  <si>
    <t>https://www.ebay.com/sch/6028/i.html?_nkw=5342042140&amp;LH_BIN=1&amp;LH_ItemCondition=1000&amp;LH_Shipped_to=US</t>
  </si>
  <si>
    <t>https://www.ebay.com/sch/6028/i.html?_nkw=17881F0070&amp;LH_BIN=1&amp;LH_ItemCondition=1000&amp;LH_Shipped_to=US</t>
  </si>
  <si>
    <t>https://www.ebay.com/sch/6028/i.html?_nkw=5363042140&amp;LH_BIN=1&amp;LH_ItemCondition=1000&amp;LH_Shipped_to=US</t>
  </si>
  <si>
    <t>https://www.ebay.com/sch/6028/i.html?_nkw=1659225010&amp;LH_BIN=1&amp;LH_ItemCondition=1000&amp;LH_Shipped_to=US</t>
  </si>
  <si>
    <t>https://www.ebay.com/sch/6028/i.html?_nkw=1659425020&amp;LH_BIN=1&amp;LH_ItemCondition=1000&amp;LH_Shipped_to=US</t>
  </si>
  <si>
    <t>https://www.ebay.com/sch/6028/i.html?_nkw=5330142150&amp;LH_BIN=1&amp;LH_ItemCondition=1000&amp;LH_Shipped_to=US</t>
  </si>
  <si>
    <t>https://www.ebay.com/sch/6028/i.html?_nkw=884A033010&amp;LH_BIN=1&amp;LH_ItemCondition=1000&amp;LH_Shipped_to=US</t>
  </si>
  <si>
    <t>https://www.ebay.com/sch/6028/i.html?_nkw=1668125010&amp;LH_BIN=1&amp;LH_ItemCondition=1000&amp;LH_Shipped_to=US</t>
  </si>
  <si>
    <t>https://www.ebay.com/sch/6028/i.html?_nkw=1659325120&amp;LH_BIN=1&amp;LH_ItemCondition=1000&amp;LH_Shipped_to=US</t>
  </si>
  <si>
    <t>https://www.ebay.com/sch/6028/i.html?_nkw=1659525110&amp;LH_BIN=1&amp;LH_ItemCondition=1000&amp;LH_Shipped_to=US</t>
  </si>
  <si>
    <t>https://www.ebay.com/sch/6028/i.html?_nkw=16470F0020&amp;LH_BIN=1&amp;LH_ItemCondition=1000&amp;LH_Shipped_to=US</t>
  </si>
  <si>
    <t>https://www.ebay.com/sch/6028/i.html?_nkw=8531542460&amp;LH_BIN=1&amp;LH_ItemCondition=1000&amp;LH_Shipped_to=US</t>
  </si>
  <si>
    <t>https://www.ebay.com/sch/6028/i.html?_nkw=12211F0010&amp;LH_BIN=1&amp;LH_ItemCondition=1000&amp;LH_Shipped_to=US</t>
  </si>
  <si>
    <t>https://www.ebay.com/sch/6028/i.html?_nkw=1638031010&amp;LH_BIN=1&amp;LH_ItemCondition=1000&amp;LH_Shipped_to=US</t>
  </si>
  <si>
    <t>https://www.ebay.com/sch/6028/i.html?_nkw=5314133130&amp;LH_BIN=1&amp;LH_ItemCondition=1000&amp;LH_Shipped_to=US</t>
  </si>
  <si>
    <t>https://www.ebay.com/sch/6028/i.html?_nkw=8121002160&amp;LH_BIN=1&amp;LH_ItemCondition=1000&amp;LH_Shipped_to=US</t>
  </si>
  <si>
    <t>https://www.ebay.com/sch/6028/i.html?_nkw=8122002160&amp;LH_BIN=1&amp;LH_ItemCondition=1000&amp;LH_Shipped_to=US</t>
  </si>
  <si>
    <t>https://www.ebay.com/sch/6028/i.html?_nkw=8114542A32&amp;LH_BIN=1&amp;LH_ItemCondition=1000&amp;LH_Shipped_to=US</t>
  </si>
  <si>
    <t>https://www.ebay.com/sch/6028/i.html?_nkw=8118542A32&amp;LH_BIN=1&amp;LH_ItemCondition=1000&amp;LH_Shipped_to=US</t>
  </si>
  <si>
    <t>https://www.ebay.com/sch/6028/i.html?_nkw=1770025071&amp;LH_BIN=1&amp;LH_ItemCondition=1000&amp;LH_Shipped_to=US</t>
  </si>
  <si>
    <t>https://www.ebay.com/sch/6028/i.html?_nkw=5381142330&amp;LH_BIN=1&amp;LH_ItemCondition=1000&amp;LH_Shipped_to=US</t>
  </si>
  <si>
    <t>https://www.ebay.com/sch/6028/i.html?_nkw=5381242360&amp;LH_BIN=1&amp;LH_ItemCondition=1000&amp;LH_Shipped_to=US</t>
  </si>
  <si>
    <t>https://www.ebay.com/sch/6028/i.html?_nkw=5387542110&amp;LH_BIN=1&amp;LH_ItemCondition=1000&amp;LH_Shipped_to=US</t>
  </si>
  <si>
    <t>https://www.ebay.com/sch/6028/i.html?_nkw=5387642120&amp;LH_BIN=1&amp;LH_ItemCondition=1000&amp;LH_Shipped_to=US</t>
  </si>
  <si>
    <t>https://www.ebay.com/sch/6028/i.html?_nkw=8212142Q50&amp;LH_BIN=1&amp;LH_ItemCondition=1000&amp;LH_Shipped_to=US</t>
  </si>
  <si>
    <t>https://www.ebay.com/sch/6028/i.html?_nkw=5370742020&amp;LH_BIN=1&amp;LH_ItemCondition=1000&amp;LH_Shipped_to=US</t>
  </si>
  <si>
    <t>https://www.ebay.com/sch/6028/i.html?_nkw=5370842020&amp;LH_BIN=1&amp;LH_ItemCondition=1000&amp;LH_Shipped_to=US</t>
  </si>
  <si>
    <t>https://www.ebay.com/sch/6028/i.html?_nkw=7662142130&amp;LH_BIN=1&amp;LH_ItemCondition=1000&amp;LH_Shipped_to=US</t>
  </si>
  <si>
    <t>https://www.ebay.com/sch/6028/i.html?_nkw=7662242130&amp;LH_BIN=1&amp;LH_ItemCondition=1000&amp;LH_Shipped_to=US</t>
  </si>
  <si>
    <t>https://www.ebay.com/sch/6028/i.html?_nkw=16572F0090&amp;LH_BIN=1&amp;LH_ItemCondition=1000&amp;LH_Shipped_to=US</t>
  </si>
  <si>
    <t>https://www.ebay.com/sch/6028/i.html?_nkw=1657125070&amp;LH_BIN=1&amp;LH_ItemCondition=1000&amp;LH_Shipped_to=US</t>
  </si>
  <si>
    <t>https://www.ebay.com/sch/6028/i.html?_nkw=8720942290&amp;LH_BIN=1&amp;LH_ItemCondition=1000&amp;LH_Shipped_to=US</t>
  </si>
  <si>
    <t>https://www.ebay.com/sch/6028/i.html?_nkw=5311542010&amp;LH_BIN=1&amp;LH_ItemCondition=1000&amp;LH_Shipped_to=US</t>
  </si>
  <si>
    <t>https://www.ebay.com/sch/6028/i.html?_nkw=5320542906&amp;LH_BIN=1&amp;LH_ItemCondition=1000&amp;LH_Shipped_to=US</t>
  </si>
  <si>
    <t>https://www.ebay.com/sch/6028/i.html?_nkw=5610142936&amp;LH_BIN=1&amp;LH_ItemCondition=1000&amp;LH_Shipped_to=US</t>
  </si>
  <si>
    <t>https://www.ebay.com/sch/6028/i.html?_nkw=521194A916&amp;LH_BIN=1&amp;LH_ItemCondition=1000&amp;LH_Shipped_to=US</t>
  </si>
  <si>
    <t>https://www.ebay.com/sch/6028/i.html?_nkw=5311242140&amp;LH_BIN=1&amp;LH_ItemCondition=1000&amp;LH_Shipped_to=US</t>
  </si>
  <si>
    <t>https://www.ebay.com/sch/6028/i.html?_nkw=5311342181C0&amp;LH_BIN=1&amp;LH_ItemCondition=1000&amp;LH_Shipped_to=US</t>
  </si>
  <si>
    <t>https://www.ebay.com/sch/6028/i.html?_nkw=5271242070&amp;LH_BIN=1&amp;LH_ItemCondition=1000&amp;LH_Shipped_to=US</t>
  </si>
  <si>
    <t>https://www.ebay.com/sch/6028/i.html?_nkw=5271342070&amp;LH_BIN=1&amp;LH_ItemCondition=1000&amp;LH_Shipped_to=US</t>
  </si>
  <si>
    <t>https://www.ebay.com/sch/6028/i.html?_nkw=7560142170C0&amp;LH_BIN=1&amp;LH_ItemCondition=1000&amp;LH_Shipped_to=US</t>
  </si>
  <si>
    <t>https://www.ebay.com/sch/6028/i.html?_nkw=7560242170C0&amp;LH_BIN=1&amp;LH_ItemCondition=1000&amp;LH_Shipped_to=US</t>
  </si>
  <si>
    <t>https://www.ebay.com/sch/6028/i.html?_nkw=5570842230&amp;LH_BIN=1&amp;LH_ItemCondition=1000&amp;LH_Shipped_to=US</t>
  </si>
  <si>
    <t>https://www.ebay.com/sch/6028/i.html?_nkw=755330R030&amp;LH_BIN=1&amp;LH_ItemCondition=1000&amp;LH_Shipped_to=US</t>
  </si>
  <si>
    <t>https://www.ebay.com/sch/6028/i.html?_nkw=16400F0010&amp;LH_BIN=1&amp;LH_ItemCondition=1000&amp;LH_Shipped_to=US</t>
  </si>
  <si>
    <t>https://www.ebay.com/sch/6028/i.html?_nkw=5210242110&amp;LH_BIN=1&amp;LH_ItemCondition=1000&amp;LH_Shipped_to=US</t>
  </si>
  <si>
    <t>https://www.ebay.com/sch/6028/i.html?_nkw=5210342110&amp;LH_BIN=1&amp;LH_ItemCondition=1000&amp;LH_Shipped_to=US</t>
  </si>
  <si>
    <t>https://www.ebay.com/sch/6028/i.html?_nkw=8821033120&amp;LH_BIN=1&amp;LH_ItemCondition=1000&amp;LH_Shipped_to=US</t>
  </si>
  <si>
    <t>https://www.ebay.com/sch/6028/i.html?_nkw=5212742220&amp;LH_BIN=1&amp;LH_ItemCondition=1000&amp;LH_Shipped_to=US</t>
  </si>
  <si>
    <t>https://www.ebay.com/sch/6028/i.html?_nkw=5253542050&amp;LH_BIN=1&amp;LH_ItemCondition=1000&amp;LH_Shipped_to=US</t>
  </si>
  <si>
    <t>https://www.ebay.com/sch/6028/i.html?_nkw=5320242901&amp;LH_BIN=1&amp;LH_ItemCondition=1000&amp;LH_Shipped_to=US</t>
  </si>
  <si>
    <t>https://www.ebay.com/sch/6028/i.html?_nkw=1237124060&amp;LH_BIN=1&amp;LH_ItemCondition=1000&amp;LH_Shipped_to=US</t>
  </si>
  <si>
    <t>https://www.ebay.com/sch/6028/i.html?_nkw=5389542090&amp;LH_BIN=1&amp;LH_ItemCondition=1000&amp;LH_Shipped_to=US</t>
  </si>
  <si>
    <t>https://www.ebay.com/sch/6028/i.html?_nkw=5389642080&amp;LH_BIN=1&amp;LH_ItemCondition=1000&amp;LH_Shipped_to=US</t>
  </si>
  <si>
    <t>https://www.ebay.com/sch/6028/i.html?_nkw=5212842220&amp;LH_BIN=1&amp;LH_ItemCondition=1000&amp;LH_Shipped_to=US</t>
  </si>
  <si>
    <t>https://www.ebay.com/sch/6028/i.html?_nkw=5253642080&amp;LH_BIN=1&amp;LH_ItemCondition=1000&amp;LH_Shipped_to=US</t>
  </si>
  <si>
    <t>https://www.ebay.com/sch/6028/i.html?_nkw=5320342901&amp;LH_BIN=1&amp;LH_ItemCondition=1000&amp;LH_Shipped_to=US</t>
  </si>
  <si>
    <t>https://www.ebay.com/sch/6028/i.html?_nkw=165350V010&amp;LH_BIN=1&amp;LH_ItemCondition=1000&amp;LH_Shipped_to=US</t>
  </si>
  <si>
    <t>https://www.ebay.com/sch/6028/i.html?_nkw=1652338010&amp;LH_BIN=1&amp;LH_ItemCondition=1000&amp;LH_Shipped_to=US</t>
  </si>
  <si>
    <t>https://www.ebay.com/sch/6028/i.html?_nkw=1232124060&amp;LH_BIN=1&amp;LH_ItemCondition=1000&amp;LH_Shipped_to=US</t>
  </si>
  <si>
    <t>https://www.ebay.com/sch/6028/i.html?_nkw=1640136030&amp;LH_BIN=1&amp;LH_ItemCondition=1000&amp;LH_Shipped_to=US</t>
  </si>
  <si>
    <t>https://www.ebay.com/sch/6028/i.html?_nkw=5241142908&amp;LH_BIN=1&amp;LH_ItemCondition=1000&amp;LH_Shipped_to=US</t>
  </si>
  <si>
    <t>https://www.ebay.com/sch/6028/i.html?_nkw=5710442090&amp;LH_BIN=1&amp;LH_ItemCondition=1000&amp;LH_Shipped_to=US</t>
  </si>
  <si>
    <t>https://www.ebay.com/sch/6028/i.html?_nkw=1775025050&amp;LH_BIN=1&amp;LH_ItemCondition=1000&amp;LH_Shipped_to=US</t>
  </si>
  <si>
    <t>https://www.ebay.com/sch/6028/i.html?_nkw=8870442730&amp;LH_BIN=1&amp;LH_ItemCondition=1000&amp;LH_Shipped_to=US</t>
  </si>
  <si>
    <t>https://www.ebay.com/sch/6028/i.html?_nkw=8870742180&amp;LH_BIN=1&amp;LH_ItemCondition=1000&amp;LH_Shipped_to=US</t>
  </si>
  <si>
    <t>https://www.ebay.com/sch/6028/i.html?_nkw=8871142050&amp;LH_BIN=1&amp;LH_ItemCondition=1000&amp;LH_Shipped_to=US</t>
  </si>
  <si>
    <t>https://www.ebay.com/sch/6028/i.html?_nkw=2560125011&amp;LH_BIN=1&amp;LH_ItemCondition=1000&amp;LH_Shipped_to=US</t>
  </si>
  <si>
    <t>https://www.ebay.com/sch/6028/i.html?_nkw=16897F0040&amp;LH_BIN=1&amp;LH_ItemCondition=1000&amp;LH_Shipped_to=US</t>
  </si>
  <si>
    <t>https://www.ebay.com/sch/6028/i.html?_nkw=8871042120&amp;LH_BIN=1&amp;LH_ItemCondition=1000&amp;LH_Shipped_to=US</t>
  </si>
  <si>
    <t>https://www.ebay.com/sch/6028/i.html?_nkw=2568025010&amp;LH_BIN=1&amp;LH_ItemCondition=1000&amp;LH_Shipped_to=US</t>
  </si>
  <si>
    <t>https://www.ebay.com/sch/6028/i.html?_nkw=8720942300&amp;LH_BIN=1&amp;LH_ItemCondition=1000&amp;LH_Shipped_to=US</t>
  </si>
  <si>
    <t>https://www.ebay.com/sch/6028/i.html?_nkw=2586025040&amp;LH_BIN=1&amp;LH_ItemCondition=1000&amp;LH_Shipped_to=US</t>
  </si>
  <si>
    <t>https://www.ebay.com/sch/6028/i.html?_nkw=5202142190&amp;LH_BIN=1&amp;LH_ItemCondition=1000&amp;LH_Shipped_to=US</t>
  </si>
  <si>
    <t>https://partsouq.com/en/search/all?q=5261842080</t>
  </si>
  <si>
    <t>https://partsouq.com/en/search/all?q=5144142200</t>
  </si>
  <si>
    <t>https://partsouq.com/en/search/all?q=5271142140B0</t>
  </si>
  <si>
    <t>https://partsouq.com/en/search/all?q=5341042140</t>
  </si>
  <si>
    <t>https://partsouq.com/en/search/all?q=5342042140</t>
  </si>
  <si>
    <t>https://partsouq.com/en/search/all?q=5363042140</t>
  </si>
  <si>
    <t>https://partsouq.com/en/search/all?q=1659225010</t>
  </si>
  <si>
    <t>https://partsouq.com/en/search/all?q=1659425020</t>
  </si>
  <si>
    <t>https://partsouq.com/en/search/all?q=5330142150</t>
  </si>
  <si>
    <t>https://partsouq.com/en/search/all?q=884A033010</t>
  </si>
  <si>
    <t>https://partsouq.com/en/search/all?q=1668125010</t>
  </si>
  <si>
    <t>https://partsouq.com/en/search/all?q=1659325120</t>
  </si>
  <si>
    <t>https://partsouq.com/en/search/all?q=1659525110</t>
  </si>
  <si>
    <t>https://partsouq.com/en/search/all?q=8531542460</t>
  </si>
  <si>
    <t>https://partsouq.com/en/search/all?q=5314133130</t>
  </si>
  <si>
    <t>https://partsouq.com/en/search/all?q=8121002160</t>
  </si>
  <si>
    <t>https://partsouq.com/en/search/all?q=8122002160</t>
  </si>
  <si>
    <t>https://partsouq.com/en/search/all?q=8114542A32</t>
  </si>
  <si>
    <t>https://partsouq.com/en/search/all?q=8118542A32</t>
  </si>
  <si>
    <t>https://partsouq.com/en/search/all?q=1770025071</t>
  </si>
  <si>
    <t>https://partsouq.com/en/search/all?q=5381142330</t>
  </si>
  <si>
    <t>https://partsouq.com/en/search/all?q=5381242360</t>
  </si>
  <si>
    <t>https://partsouq.com/en/search/all?q=5370842020</t>
  </si>
  <si>
    <t>https://partsouq.com/en/search/all?q=7662142130</t>
  </si>
  <si>
    <t>https://partsouq.com/en/search/all?q=7662242130</t>
  </si>
  <si>
    <t>https://partsouq.com/en/search/all?q=1657125070</t>
  </si>
  <si>
    <t>https://partsouq.com/en/search/all?q=8720942290</t>
  </si>
  <si>
    <t>https://partsouq.com/en/search/all?q=5311542010</t>
  </si>
  <si>
    <t>https://partsouq.com/en/search/all?q=5320542906</t>
  </si>
  <si>
    <t>https://partsouq.com/en/search/all?q=521194A916</t>
  </si>
  <si>
    <t>https://partsouq.com/en/search/all?q=5311242140</t>
  </si>
  <si>
    <t>https://partsouq.com/en/search/all?q=5311342181C0</t>
  </si>
  <si>
    <t>https://partsouq.com/en/search/all?q=5271242070</t>
  </si>
  <si>
    <t>https://partsouq.com/en/search/all?q=5271342070</t>
  </si>
  <si>
    <t>https://partsouq.com/en/search/all?q=7560142170C0</t>
  </si>
  <si>
    <t>https://partsouq.com/en/search/all?q=7560242170C0</t>
  </si>
  <si>
    <t>https://partsouq.com/en/search/all?q=5570842230</t>
  </si>
  <si>
    <t>https://partsouq.com/en/search/all?q=16400F0010</t>
  </si>
  <si>
    <t>https://partsouq.com/en/search/all?q=5210242110</t>
  </si>
  <si>
    <t>https://partsouq.com/en/search/all?q=5210342110</t>
  </si>
  <si>
    <t>https://partsouq.com/en/search/all?q=8821033120</t>
  </si>
  <si>
    <t>https://partsouq.com/en/search/all?q=5212742220</t>
  </si>
  <si>
    <t>https://partsouq.com/en/search/all?q=5253542050</t>
  </si>
  <si>
    <t>https://partsouq.com/en/search/all?q=5320242901</t>
  </si>
  <si>
    <t>https://partsouq.com/en/search/all?q=5212842220</t>
  </si>
  <si>
    <t>https://partsouq.com/en/search/all?q=5253642080</t>
  </si>
  <si>
    <t>https://partsouq.com/en/search/all?q=5320342901</t>
  </si>
  <si>
    <t>https://partsouq.com/en/search/all?q=165350V010</t>
  </si>
  <si>
    <t>https://partsouq.com/en/search/all?q=1652338010</t>
  </si>
  <si>
    <t>https://partsouq.com/en/search/all?q=1640136030</t>
  </si>
  <si>
    <t>https://partsouq.com/en/search/all?q=5241142908</t>
  </si>
  <si>
    <t>https://partsouq.com/en/search/all?q=5710442090</t>
  </si>
  <si>
    <t>https://partsouq.com/en/search/all?q=1775025050</t>
  </si>
  <si>
    <t>https://partsouq.com/en/search/all?q=8870442730</t>
  </si>
  <si>
    <t>https://partsouq.com/en/search/all?q=8870742180</t>
  </si>
  <si>
    <t>https://partsouq.com/en/search/all?q=8871142050</t>
  </si>
  <si>
    <t>https://partsouq.com/en/search/all?q=2560125011</t>
  </si>
  <si>
    <t>https://partsouq.com/en/search/all?q=2568025010</t>
  </si>
  <si>
    <t>https://partsouq.com/en/search/all?q=8720942300</t>
  </si>
  <si>
    <t>https://partsouq.com/en/search/all?q=2586025040</t>
  </si>
  <si>
    <t>https://partsouq.com/en/search/all?q=5202142190</t>
  </si>
  <si>
    <t>COT. 6204  |  S0238930  |  Latina Seguros  |  MITSUBISHI  |  ABM6937 (2024)  |  MMBJJKL10RH005445  |  COMPUAUTO  |  01/09/2026 15:06</t>
  </si>
  <si>
    <t>https://www.mitsubishipartsgiant.com/parts/mitsubishi-part~5905A179.html</t>
  </si>
  <si>
    <t>https://www.mitsubishipartsgiant.com/parts/mitsubishi-part~5900B087</t>
  </si>
  <si>
    <t>https://www.mitsubishipartsgiant.com/parts/mitsubishi-part~7812A292</t>
  </si>
  <si>
    <t>https://www.mitsubishipartsgiant.com/parts/mitsubishi-part~1360A193</t>
  </si>
  <si>
    <t>https://www.mitsubishipartsgiant.com/parts/mitsubishi-part~8260A493</t>
  </si>
  <si>
    <t>https://www.mitsubishipartsgiant.com/parts/mitsubishi-part~MN124448.html</t>
  </si>
  <si>
    <t>https://www.mitsubishipartsgiant.com/parts/mitsubishi-part~7632D321</t>
  </si>
  <si>
    <t>https://www.mitsubishipartsgiant.com/parts/mitsubishi-part~5253BJ71</t>
  </si>
  <si>
    <t>https://www.mitsubishipartsgiant.com/parts/mitsubishi-part~8301D373.html</t>
  </si>
  <si>
    <t>https://www.mitsubishipartsgiant.com/parts/mitsubishi-part~5220AG81.html</t>
  </si>
  <si>
    <t>https://www.mitsubishipartsgiant.com/parts/mitsubishi-part~5370C153</t>
  </si>
  <si>
    <t>https://www.mitsubishipartsgiant.com/parts/mitsubishi-part~5370C149</t>
  </si>
  <si>
    <t>https://www.mitsubishipartsgiant.com/parts/mitsubishi-part~5705A901.html</t>
  </si>
  <si>
    <t>https://www.mitsubishipartsgiant.com/parts/mitsubishi-part~5705A903</t>
  </si>
  <si>
    <t>https://www.mitsubishipartsgiant.com/parts/mitsubishi-part~MN135001</t>
  </si>
  <si>
    <t>https://www.mitsubishipartsgiant.com/parts/mitsubishi-part~5716A585</t>
  </si>
  <si>
    <t>https://www.mitsubishipartsgiant.com/parts/mitsubishi-part~6102B750</t>
  </si>
  <si>
    <t>https://www.mitsubishipartsgiant.com/parts/mitsubishi-part~6400HW140P</t>
  </si>
  <si>
    <t>https://www.mitsubishipartsgiant.com/parts/mitsubishi-part~5312C391</t>
  </si>
  <si>
    <t>https://www.mitsubishipartsgiant.com/parts/mitsubishi-part~7450B288</t>
  </si>
  <si>
    <t>https://www.mitsubishipartsgiant.com/parts/mitsubishi-part~6407A337.html</t>
  </si>
  <si>
    <t>https://www.mitsubishipartsgiant.com/parts/mitsubishi-part~7400A426</t>
  </si>
  <si>
    <t>https://www.mitsubishipartsgiant.com/parts/mitsubishi-part~5370B499.html</t>
  </si>
  <si>
    <t>https://www.mitsubishipartsgiant.com/parts/mitsubishi-part~1360A129</t>
  </si>
  <si>
    <t>https://www.mitsubishipartsgiant.com/parts/mitsubishi-part~5700B793</t>
  </si>
  <si>
    <t>https://www.mitsubishipartsgiant.com/parts/mitsubishi-part~1350A817</t>
  </si>
  <si>
    <t>https://www.mitsubishipartsgiant.com/parts/mitsubishi-part~6400F912</t>
  </si>
  <si>
    <t>https://www.mitsubishipartsgiant.com/parts/mitsubishi-part~6402A534.html</t>
  </si>
  <si>
    <t>https://www.mitsubishipartsgiant.com/parts/mitsubishi-part~6400F777.html</t>
  </si>
  <si>
    <t>https://www.mitsubishipartsgiant.com/parts/mitsubishi-part~6400J287.html</t>
  </si>
  <si>
    <t>https://www.mitsubishipartsgiant.com/parts/mitsubishi-part~8260A497</t>
  </si>
  <si>
    <t>https://www.mitsubishipartsgiant.com/parts/mitsubishi-part~8260A482</t>
  </si>
  <si>
    <t>https://www.mitsubishipartsgiant.com/parts/mitsubishi-part~8723A309</t>
  </si>
  <si>
    <t>https://www.mitsubishipartsgiant.com/parts/mitsubishi-part~5706A957</t>
  </si>
  <si>
    <t>https://www.mitsubishipartsgiant.com/parts/mitsubishi-part~6400J914.html</t>
  </si>
  <si>
    <t>COT. 40405  |  26-01-VH-7092833-DP  |  Zurich Seguros Ecuador SA  |  TOYOTA  |  PBO9534 (2011)  |  JTEBU11FXBK090170  |  AUTOS DEL VALLE AUTOVALLEY FLUJO EXPRESS  |  07/10/2026 19:50</t>
  </si>
  <si>
    <t>52615 35060</t>
  </si>
  <si>
    <t>ABSORB.IMPACTO TRA.</t>
  </si>
  <si>
    <t>68801 60052</t>
  </si>
  <si>
    <t>BISAG.INF.TAPA MALE.</t>
  </si>
  <si>
    <t>68801 35010</t>
  </si>
  <si>
    <t>BISAGRA SUP.TRA.</t>
  </si>
  <si>
    <t>62903 60070</t>
  </si>
  <si>
    <t>CARCASA AIRE I.</t>
  </si>
  <si>
    <t>75659 35110</t>
  </si>
  <si>
    <t>GOM.PLAT.GUARD.TR.I.</t>
  </si>
  <si>
    <t>81562 35301</t>
  </si>
  <si>
    <t>GOM.STOP TR.I.</t>
  </si>
  <si>
    <t>67881 35051</t>
  </si>
  <si>
    <t>GOMA TAPA MALETA</t>
  </si>
  <si>
    <t>61612 35201</t>
  </si>
  <si>
    <t>GUARDAFANGO TRA.I.</t>
  </si>
  <si>
    <t>8708.29.20.00</t>
  </si>
  <si>
    <t>77277 35031</t>
  </si>
  <si>
    <t>PROTECC.TUBO LLENADO</t>
  </si>
  <si>
    <t>64771 35032</t>
  </si>
  <si>
    <t>RECU.RUEDA REPUESTO</t>
  </si>
  <si>
    <t>61729 35060</t>
  </si>
  <si>
    <t>REF.TAPA DEP.COMBUST</t>
  </si>
  <si>
    <t>8708.99.99.90</t>
  </si>
  <si>
    <t>261001092000340</t>
  </si>
  <si>
    <t>REJILLA COST LH</t>
  </si>
  <si>
    <t>52156 35030</t>
  </si>
  <si>
    <t>52152 35141</t>
  </si>
  <si>
    <t>SOP.I.PARACHOQ.TRA.</t>
  </si>
  <si>
    <t>81561 35301</t>
  </si>
  <si>
    <t>67005 35361</t>
  </si>
  <si>
    <t>77350 35060</t>
  </si>
  <si>
    <t>TAPA TANQUE COMBUST.</t>
  </si>
  <si>
    <t>77300 52030</t>
  </si>
  <si>
    <t>TAPON COMBUSTIBLE</t>
  </si>
  <si>
    <t>77291 35140</t>
  </si>
  <si>
    <t>TUBO LLENADO</t>
  </si>
  <si>
    <t>62740 35163</t>
  </si>
  <si>
    <t>VIDRIO  LATER.I.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</si>
</sst>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yy\ hh:mm"/>
  </numFmts>
  <fonts count="13" x14ac:knownFonts="1"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4"/>
      <color rgb="FFFFFFFF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rgb="FFB4B4B4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46C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404040"/>
      </patternFill>
    </fill>
    <fill>
      <patternFill patternType="solid">
        <fgColor rgb="FFC55A11"/>
      </patternFill>
    </fill>
    <fill>
      <patternFill patternType="solid">
        <fgColor rgb="FF7B7B7B"/>
      </patternFill>
    </fill>
    <fill>
      <patternFill patternType="solid">
        <fgColor rgb="FF1F4E7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794E1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E6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rgb="FFFFCE7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9" borderId="0" xfId="0" applyFont="1" applyFill="1"/>
    <xf numFmtId="4" fontId="0" fillId="0" borderId="0" xfId="0" applyNumberFormat="1"/>
    <xf numFmtId="0" fontId="10" fillId="10" borderId="0" xfId="0" applyFont="1" applyFill="1"/>
    <xf numFmtId="0" fontId="11" fillId="10" borderId="0" xfId="0" applyFont="1" applyFill="1"/>
    <xf numFmtId="4" fontId="7" fillId="11" borderId="0" xfId="0" applyNumberFormat="1" applyFont="1" applyFill="1"/>
    <xf numFmtId="0" fontId="10" fillId="10" borderId="0" xfId="0" quotePrefix="1" applyFont="1" applyFill="1" applyAlignment="1">
      <alignment wrapText="1"/>
    </xf>
    <xf numFmtId="49" fontId="12" fillId="10" borderId="0" xfId="0" applyNumberFormat="1" applyFont="1" applyFill="1"/>
    <xf numFmtId="0" fontId="12" fillId="10" borderId="0" xfId="0" applyFont="1" applyFill="1"/>
    <xf numFmtId="4" fontId="7" fillId="8" borderId="0" xfId="0" applyNumberFormat="1" applyFont="1" applyFill="1"/>
    <xf numFmtId="49" fontId="12" fillId="12" borderId="0" xfId="0" applyNumberFormat="1" applyFont="1" applyFill="1"/>
    <xf numFmtId="0" fontId="12" fillId="12" borderId="0" xfId="0" applyFont="1" applyFill="1"/>
    <xf numFmtId="0" fontId="11" fillId="12" borderId="0" xfId="0" applyFont="1" applyFill="1"/>
    <xf numFmtId="0" fontId="12" fillId="13" borderId="0" xfId="0" applyFont="1" applyFill="1"/>
    <xf numFmtId="49" fontId="12" fillId="10" borderId="0" xfId="0" quotePrefix="1" applyNumberFormat="1" applyFont="1" applyFill="1"/>
    <xf numFmtId="0" fontId="12" fillId="10" borderId="0" xfId="0" quotePrefix="1" applyFont="1" applyFill="1"/>
    <xf numFmtId="0" fontId="12" fillId="12" borderId="0" xfId="0" quotePrefix="1" applyFont="1" applyFill="1"/>
    <xf numFmtId="49" fontId="12" fillId="12" borderId="0" xfId="0" quotePrefix="1" applyNumberFormat="1" applyFont="1" applyFill="1"/>
    <xf numFmtId="49" fontId="12" fillId="10" borderId="0" xfId="0" quotePrefix="1" applyNumberFormat="1" applyFont="1" applyFill="1" applyAlignment="1">
      <alignment wrapText="1"/>
    </xf>
    <xf numFmtId="49" fontId="12" fillId="12" borderId="0" xfId="0" quotePrefix="1" applyNumberFormat="1" applyFont="1" applyFill="1" applyAlignment="1">
      <alignment wrapText="1"/>
    </xf>
    <xf numFmtId="0" fontId="7" fillId="0" borderId="0" xfId="0" applyFont="1"/>
    <xf numFmtId="49" fontId="12" fillId="10" borderId="0" xfId="0" applyNumberFormat="1" applyFont="1" applyFill="1" applyAlignment="1">
      <alignment wrapText="1"/>
    </xf>
    <xf numFmtId="0" fontId="4" fillId="2" borderId="0" xfId="0" applyFont="1" applyFill="1" applyAlignment="1">
      <alignment horizontal="center" vertical="center"/>
    </xf>
    <xf numFmtId="0" fontId="0" fillId="0" borderId="0" xfId="0"/>
    <xf numFmtId="0" fontId="8" fillId="7" borderId="2" xfId="0" applyFont="1" applyFill="1" applyBorder="1"/>
    <xf numFmtId="0" fontId="0" fillId="0" borderId="2" xfId="0" applyBorder="1"/>
    <xf numFmtId="0" fontId="1" fillId="2" borderId="0" xfId="0" applyFont="1" applyFill="1" applyAlignment="1">
      <alignment horizontal="center"/>
    </xf>
    <xf numFmtId="0" fontId="8" fillId="9" borderId="0" xfId="0" applyFont="1" applyFill="1"/>
    <xf numFmtId="165" fontId="9" fillId="9" borderId="0" xfId="0" applyNumberFormat="1" applyFont="1" applyFill="1"/>
    <xf numFmtId="0" fontId="8" fillId="7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104775</xdr:rowOff>
    </xdr:from>
    <xdr:to>
      <xdr:col>0</xdr:col>
      <xdr:colOff>838200</xdr:colOff>
      <xdr:row>0</xdr:row>
      <xdr:rowOff>342900</xdr:rowOff>
    </xdr:to>
    <xdr:sp macro="[0]!ImportarDeInpart" textlink="">
      <xdr:nvSpPr>
        <xdr:cNvPr id="3" name="Rectangle 2">
          <a:extLst>
            <a:ext uri="{FF2B5EF4-FFF2-40B4-BE49-F238E27FC236}">
              <a16:creationId xmlns:a16="http://schemas.microsoft.com/office/drawing/2014/main" id="{FEA15296-9DD9-5431-22E1-FF48503B6072}"/>
            </a:ext>
          </a:extLst>
        </xdr:cNvPr>
        <xdr:cNvSpPr/>
      </xdr:nvSpPr>
      <xdr:spPr>
        <a:xfrm>
          <a:off x="133350" y="104775"/>
          <a:ext cx="704850" cy="2381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INPART</a:t>
          </a:r>
        </a:p>
      </xdr:txBody>
    </xdr:sp>
    <xdr:clientData/>
  </xdr:twoCellAnchor>
  <xdr:twoCellAnchor>
    <xdr:from>
      <xdr:col>0</xdr:col>
      <xdr:colOff>923925</xdr:colOff>
      <xdr:row>0</xdr:row>
      <xdr:rowOff>47625</xdr:rowOff>
    </xdr:from>
    <xdr:to>
      <xdr:col>1</xdr:col>
      <xdr:colOff>723900</xdr:colOff>
      <xdr:row>0</xdr:row>
      <xdr:rowOff>657225</xdr:rowOff>
    </xdr:to>
    <xdr:sp macro="[0]!EnriquecerPrecios" textlink="">
      <xdr:nvSpPr>
        <xdr:cNvPr id="2" name="Rectangle 1">
          <a:extLst>
            <a:ext uri="{FF2B5EF4-FFF2-40B4-BE49-F238E27FC236}">
              <a16:creationId xmlns:a16="http://schemas.microsoft.com/office/drawing/2014/main" id="{EC8C3EB4-5134-8096-6B32-E2E2132A4E2C}"/>
            </a:ext>
          </a:extLst>
        </xdr:cNvPr>
        <xdr:cNvSpPr/>
      </xdr:nvSpPr>
      <xdr:spPr>
        <a:xfrm>
          <a:off x="923925" y="47625"/>
          <a:ext cx="733425" cy="6096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OEM</a:t>
          </a:r>
          <a:r>
            <a:rPr lang="en-US" sz="1100" baseline="0"/>
            <a:t> PX</a:t>
          </a:r>
          <a:endParaRPr lang="en-US" sz="1100"/>
        </a:p>
      </xdr:txBody>
    </xdr:sp>
    <xdr:clientData/>
  </xdr:twoCellAnchor>
  <xdr:twoCellAnchor>
    <xdr:from>
      <xdr:col>0</xdr:col>
      <xdr:colOff>133350</xdr:colOff>
      <xdr:row>0</xdr:row>
      <xdr:rowOff>400050</xdr:rowOff>
    </xdr:from>
    <xdr:to>
      <xdr:col>0</xdr:col>
      <xdr:colOff>847725</xdr:colOff>
      <xdr:row>0</xdr:row>
      <xdr:rowOff>638175</xdr:rowOff>
    </xdr:to>
    <xdr:sp macro="[0]!ImportarManual" textlink="">
      <xdr:nvSpPr>
        <xdr:cNvPr id="4" name="Rectangle 3">
          <a:extLst>
            <a:ext uri="{FF2B5EF4-FFF2-40B4-BE49-F238E27FC236}">
              <a16:creationId xmlns:a16="http://schemas.microsoft.com/office/drawing/2014/main" id="{7DD6669D-1B8A-C194-C55A-BA4B31A2750D}"/>
            </a:ext>
          </a:extLst>
        </xdr:cNvPr>
        <xdr:cNvSpPr/>
      </xdr:nvSpPr>
      <xdr:spPr>
        <a:xfrm>
          <a:off x="133350" y="400050"/>
          <a:ext cx="714375" cy="2381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MANUAL</a:t>
          </a:r>
        </a:p>
      </xdr:txBody>
    </xdr:sp>
    <xdr:clientData/>
  </xdr:twoCellAnchor>
  <xdr:twoCellAnchor>
    <xdr:from>
      <xdr:col>1</xdr:col>
      <xdr:colOff>1381125</xdr:colOff>
      <xdr:row>0</xdr:row>
      <xdr:rowOff>76200</xdr:rowOff>
    </xdr:from>
    <xdr:to>
      <xdr:col>1</xdr:col>
      <xdr:colOff>1905000</xdr:colOff>
      <xdr:row>0</xdr:row>
      <xdr:rowOff>314325</xdr:rowOff>
    </xdr:to>
    <xdr:sp macro="[0]!MostrarListaAVK" textlink="">
      <xdr:nvSpPr>
        <xdr:cNvPr id="7" name="Rectangle 6">
          <a:extLst>
            <a:ext uri="{FF2B5EF4-FFF2-40B4-BE49-F238E27FC236}">
              <a16:creationId xmlns:a16="http://schemas.microsoft.com/office/drawing/2014/main" id="{D00DC96F-160D-7B96-7577-23F03FBB5313}"/>
            </a:ext>
          </a:extLst>
        </xdr:cNvPr>
        <xdr:cNvSpPr/>
      </xdr:nvSpPr>
      <xdr:spPr>
        <a:xfrm>
          <a:off x="2314575" y="76200"/>
          <a:ext cx="523875" cy="2381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AVKO</a:t>
          </a:r>
        </a:p>
      </xdr:txBody>
    </xdr:sp>
    <xdr:clientData/>
  </xdr:twoCellAnchor>
  <xdr:twoCellAnchor>
    <xdr:from>
      <xdr:col>1</xdr:col>
      <xdr:colOff>1381125</xdr:colOff>
      <xdr:row>0</xdr:row>
      <xdr:rowOff>381000</xdr:rowOff>
    </xdr:from>
    <xdr:to>
      <xdr:col>1</xdr:col>
      <xdr:colOff>1905000</xdr:colOff>
      <xdr:row>0</xdr:row>
      <xdr:rowOff>619125</xdr:rowOff>
    </xdr:to>
    <xdr:sp macro="[0]!ImportarPreciosAVK" textlink="">
      <xdr:nvSpPr>
        <xdr:cNvPr id="8" name="Rectangle 7">
          <a:extLst>
            <a:ext uri="{FF2B5EF4-FFF2-40B4-BE49-F238E27FC236}">
              <a16:creationId xmlns:a16="http://schemas.microsoft.com/office/drawing/2014/main" id="{16FCAA9A-F9A9-06E2-8676-385D64F67D6F}"/>
            </a:ext>
          </a:extLst>
        </xdr:cNvPr>
        <xdr:cNvSpPr/>
      </xdr:nvSpPr>
      <xdr:spPr>
        <a:xfrm>
          <a:off x="2314575" y="381000"/>
          <a:ext cx="523875" cy="238125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AVKI</a:t>
          </a:r>
        </a:p>
      </xdr:txBody>
    </xdr:sp>
    <xdr:clientData/>
  </xdr:twoCellAnchor>
  <xdr:twoCellAnchor>
    <xdr:from>
      <xdr:col>1</xdr:col>
      <xdr:colOff>781050</xdr:colOff>
      <xdr:row>0</xdr:row>
      <xdr:rowOff>85725</xdr:rowOff>
    </xdr:from>
    <xdr:to>
      <xdr:col>1</xdr:col>
      <xdr:colOff>1304925</xdr:colOff>
      <xdr:row>0</xdr:row>
      <xdr:rowOff>323850</xdr:rowOff>
    </xdr:to>
    <xdr:sp macro="[0]!MostrarListaPartSouq" textlink="">
      <xdr:nvSpPr>
        <xdr:cNvPr id="6" name="Rectangle 5">
          <a:extLst>
            <a:ext uri="{FF2B5EF4-FFF2-40B4-BE49-F238E27FC236}">
              <a16:creationId xmlns:a16="http://schemas.microsoft.com/office/drawing/2014/main" id="{C0672522-AC09-46B2-B6F6-FEE86AF290F2}"/>
            </a:ext>
          </a:extLst>
        </xdr:cNvPr>
        <xdr:cNvSpPr/>
      </xdr:nvSpPr>
      <xdr:spPr>
        <a:xfrm>
          <a:off x="1714500" y="85725"/>
          <a:ext cx="523875" cy="2381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PSQO</a:t>
          </a:r>
        </a:p>
      </xdr:txBody>
    </xdr:sp>
    <xdr:clientData/>
  </xdr:twoCellAnchor>
  <xdr:twoCellAnchor>
    <xdr:from>
      <xdr:col>1</xdr:col>
      <xdr:colOff>790575</xdr:colOff>
      <xdr:row>0</xdr:row>
      <xdr:rowOff>400050</xdr:rowOff>
    </xdr:from>
    <xdr:to>
      <xdr:col>1</xdr:col>
      <xdr:colOff>1314450</xdr:colOff>
      <xdr:row>0</xdr:row>
      <xdr:rowOff>638175</xdr:rowOff>
    </xdr:to>
    <xdr:sp macro="[0]!ImportarPreciosPartSouq" textlink="">
      <xdr:nvSpPr>
        <xdr:cNvPr id="9" name="Rectangle 8">
          <a:extLst>
            <a:ext uri="{FF2B5EF4-FFF2-40B4-BE49-F238E27FC236}">
              <a16:creationId xmlns:a16="http://schemas.microsoft.com/office/drawing/2014/main" id="{34F77415-5D6A-4DCE-8D45-DE3315D779C3}"/>
            </a:ext>
          </a:extLst>
        </xdr:cNvPr>
        <xdr:cNvSpPr/>
      </xdr:nvSpPr>
      <xdr:spPr>
        <a:xfrm>
          <a:off x="1724025" y="400050"/>
          <a:ext cx="523875" cy="23812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PSQI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0</xdr:row>
      <xdr:rowOff>381000</xdr:rowOff>
    </xdr:from>
    <xdr:to>
      <xdr:col>1</xdr:col>
      <xdr:colOff>1162050</xdr:colOff>
      <xdr:row>0</xdr:row>
      <xdr:rowOff>619125</xdr:rowOff>
    </xdr:to>
    <xdr:sp macro="[0]!ImportarPreciosAVK" textlink="">
      <xdr:nvSpPr>
        <xdr:cNvPr id="6" name="Rectangle 5">
          <a:extLst>
            <a:ext uri="{FF2B5EF4-FFF2-40B4-BE49-F238E27FC236}">
              <a16:creationId xmlns:a16="http://schemas.microsoft.com/office/drawing/2014/main" id="{E85AC8C6-C4C7-4E2C-98F1-5C93D7367BE1}"/>
            </a:ext>
          </a:extLst>
        </xdr:cNvPr>
        <xdr:cNvSpPr/>
      </xdr:nvSpPr>
      <xdr:spPr>
        <a:xfrm>
          <a:off x="1571625" y="381000"/>
          <a:ext cx="523875" cy="238125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AVKI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F993ED5-0760-4B43-93A9-9027AA1140CD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c4f4b455-9c53-4490-8799-635a19473802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workbookViewId="0">
      <selection sqref="A1:B1"/>
    </sheetView>
  </sheetViews>
  <sheetFormatPr defaultRowHeight="15" x14ac:dyDescent="0.25"/>
  <cols>
    <col min="1" max="1" width="22" customWidth="1"/>
    <col min="2" max="2" width="14" customWidth="1"/>
  </cols>
  <sheetData>
    <row r="1" spans="1:2" ht="24" customHeight="1" x14ac:dyDescent="0.25">
      <c r="A1" s="32" t="s">
        <v>0</v>
      </c>
      <c r="B1" s="29"/>
    </row>
    <row r="2" spans="1:2" x14ac:dyDescent="0.25">
      <c r="A2" s="1" t="s">
        <v>1</v>
      </c>
      <c r="B2" s="2">
        <v>15</v>
      </c>
    </row>
    <row r="3" spans="1:2" x14ac:dyDescent="0.25">
      <c r="A3" s="1" t="s">
        <v>2</v>
      </c>
      <c r="B3" s="2">
        <v>5</v>
      </c>
    </row>
    <row r="4" spans="1:2" x14ac:dyDescent="0.25">
      <c r="A4" s="1" t="s">
        <v>3</v>
      </c>
      <c r="B4" s="2">
        <v>20</v>
      </c>
    </row>
  </sheetData>
  <mergeCells count="1">
    <mergeCell ref="A1:B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87"/>
  <sheetViews>
    <sheetView tabSelected="1" zoomScale="90" zoomScaleNormal="90" workbookViewId="0">
      <pane ySplit="2" topLeftCell="A15" activePane="bottomLeft" state="frozen"/>
      <selection pane="bottomLeft" activeCell="A18" sqref="A18"/>
    </sheetView>
  </sheetViews>
  <sheetFormatPr defaultRowHeight="15" outlineLevelCol="2" x14ac:dyDescent="0.25"/>
  <cols>
    <col min="1" max="1" width="14" customWidth="1"/>
    <col min="2" max="2" width="35.85546875" customWidth="1"/>
    <col min="3" max="3" width="14" hidden="1" customWidth="1"/>
    <col min="4" max="7" width="10" customWidth="1"/>
    <col min="8" max="20" width="11" hidden="1" customWidth="1" outlineLevel="2"/>
    <col min="21" max="21" width="10.140625" customWidth="1" outlineLevel="1" collapsed="1"/>
    <col min="22" max="23" width="11" customWidth="1" outlineLevel="1"/>
    <col min="24" max="24" width="14" customWidth="1"/>
    <col min="25" max="25" width="20" customWidth="1"/>
    <col min="26" max="26" width="14.42578125" bestFit="1" customWidth="1"/>
    <col min="27" max="27" width="16" bestFit="1" customWidth="1"/>
    <col min="28" max="28" width="9.28515625" bestFit="1" customWidth="1"/>
    <col min="29" max="29" width="0" hidden="1" customWidth="1"/>
    <col min="30" max="30" width="16.7109375" customWidth="1"/>
    <col min="31" max="31" width="16.7109375" hidden="1" customWidth="1"/>
    <col min="32" max="32" width="16.7109375" customWidth="1"/>
    <col min="33" max="33" width="16.7109375" hidden="1" customWidth="1"/>
    <col min="34" max="35" width="16.7109375" customWidth="1"/>
  </cols>
  <sheetData>
    <row r="1" spans="1:35" ht="57" customHeight="1" x14ac:dyDescent="0.25">
      <c r="A1" s="28" t="s">
        <v>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</row>
    <row r="2" spans="1:35" ht="36" customHeight="1" thickBot="1" x14ac:dyDescent="0.3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  <c r="F2" s="3" t="s">
        <v>10</v>
      </c>
      <c r="G2" s="3" t="s">
        <v>11</v>
      </c>
      <c r="H2" s="4" t="s">
        <v>12</v>
      </c>
      <c r="I2" s="4" t="s">
        <v>13</v>
      </c>
      <c r="J2" s="4" t="s">
        <v>14</v>
      </c>
      <c r="K2" s="4" t="s">
        <v>15</v>
      </c>
      <c r="L2" s="4" t="s">
        <v>16</v>
      </c>
      <c r="M2" s="4" t="s">
        <v>17</v>
      </c>
      <c r="N2" s="4" t="s">
        <v>18</v>
      </c>
      <c r="O2" s="4" t="s">
        <v>19</v>
      </c>
      <c r="P2" s="4" t="s">
        <v>20</v>
      </c>
      <c r="Q2" s="4" t="s">
        <v>21</v>
      </c>
      <c r="R2" s="4" t="s">
        <v>22</v>
      </c>
      <c r="S2" s="4" t="s">
        <v>23</v>
      </c>
      <c r="T2" s="4" t="s">
        <v>24</v>
      </c>
      <c r="U2" s="4" t="s">
        <v>25</v>
      </c>
      <c r="V2" s="4" t="s">
        <v>26</v>
      </c>
      <c r="W2" s="4" t="s">
        <v>27</v>
      </c>
      <c r="X2" s="5" t="s">
        <v>28</v>
      </c>
      <c r="Y2" s="6" t="s">
        <v>29</v>
      </c>
      <c r="Z2" s="7" t="s">
        <v>31</v>
      </c>
      <c r="AA2" s="7" t="s">
        <v>32</v>
      </c>
      <c r="AB2" s="7" t="s">
        <v>33</v>
      </c>
      <c r="AC2" s="7" t="s">
        <v>34</v>
      </c>
      <c r="AD2" s="7" t="s">
        <v>35</v>
      </c>
      <c r="AE2" s="7" t="s">
        <v>36</v>
      </c>
      <c r="AF2" s="7" t="s">
        <v>37</v>
      </c>
      <c r="AG2" s="7" t="s">
        <v>38</v>
      </c>
      <c r="AH2" s="7" t="s">
        <v>39</v>
      </c>
      <c r="AI2" s="7" t="s">
        <v>40</v>
      </c>
    </row>
    <row r="3" spans="1:35" ht="20.100000000000001" customHeight="1" x14ac:dyDescent="0.25">
      <c r="A3" s="30" t="s">
        <v>1504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</row>
    <row r="4" spans="1:35" ht="18" customHeight="1" x14ac:dyDescent="0.25">
      <c r="A4" s="13" t="s">
        <v>1505</v>
      </c>
      <c r="B4" s="14" t="s">
        <v>1506</v>
      </c>
      <c r="C4" s="14" t="s">
        <v>48</v>
      </c>
      <c r="D4" s="10"/>
      <c r="E4" s="10"/>
      <c r="F4" s="10">
        <v>15</v>
      </c>
      <c r="G4" s="10">
        <f>CONFIG!$B$4</f>
        <v>20</v>
      </c>
      <c r="H4" s="8" t="str">
        <f>IF(D4="","",0.01*D4)</f>
        <v/>
      </c>
      <c r="I4" s="8" t="str">
        <f>IF(E4="","",4*E4)</f>
        <v/>
      </c>
      <c r="J4" s="8" t="str">
        <f>IF(D4="","",D4+H4+I4)</f>
        <v/>
      </c>
      <c r="K4" s="8" t="str">
        <f>IF(J4="","",J4*(F4/100))</f>
        <v/>
      </c>
      <c r="L4" s="8" t="str">
        <f>IF(J4="","",0.005*J4)</f>
        <v/>
      </c>
      <c r="M4" s="8" t="str">
        <f>IF(J4="","",(CONFIG!$B$2/100)*(J4+K4+L4))</f>
        <v/>
      </c>
      <c r="N4" s="8" t="str">
        <f>IF(K4="","",K4+L4+M4)</f>
        <v/>
      </c>
      <c r="O4" s="8" t="str">
        <f>IF(D4="","",D4*(CONFIG!$B$3/100))</f>
        <v/>
      </c>
      <c r="P4" s="8" t="str">
        <f>IF(E4="","",3.7*E4*(1+CONFIG!$B$2/100))</f>
        <v/>
      </c>
      <c r="Q4" s="8" t="str">
        <f>IF(P4="","",0.027*P4)</f>
        <v/>
      </c>
      <c r="R4" s="8" t="str">
        <f>IF(P4="","",0.017*P4)</f>
        <v/>
      </c>
      <c r="S4" s="8" t="str">
        <f>IF(E4="","",(30/35)*E4*(1+CONFIG!$B$2/100))</f>
        <v/>
      </c>
      <c r="T4" s="8" t="str">
        <f>IF(P4="","",P4+Q4+R4+S4)</f>
        <v/>
      </c>
      <c r="U4" s="8" t="str">
        <f>IF(D4="","",D4+O4+N4+T4)</f>
        <v/>
      </c>
      <c r="V4" s="8" t="str">
        <f>IF(U4="","",(G4/100)*U4)</f>
        <v/>
      </c>
      <c r="W4" s="8" t="str">
        <f>IF(M4="","",M4)</f>
        <v/>
      </c>
      <c r="X4" s="15" t="str">
        <f>IF(U4="","",U4+V4-W4)</f>
        <v/>
      </c>
      <c r="AB4" t="s">
        <v>30</v>
      </c>
    </row>
    <row r="5" spans="1:35" ht="18" customHeight="1" x14ac:dyDescent="0.25">
      <c r="A5" s="16" t="s">
        <v>1507</v>
      </c>
      <c r="B5" s="17" t="s">
        <v>1508</v>
      </c>
      <c r="C5" s="17" t="s">
        <v>253</v>
      </c>
      <c r="D5" s="18"/>
      <c r="E5" s="18"/>
      <c r="F5" s="18">
        <v>0</v>
      </c>
      <c r="G5" s="18">
        <f>CONFIG!$B$4</f>
        <v>20</v>
      </c>
      <c r="H5" s="8" t="str">
        <f>IF(D5="","",0.01*D5)</f>
        <v/>
      </c>
      <c r="I5" s="8" t="str">
        <f>IF(E5="","",4*E5)</f>
        <v/>
      </c>
      <c r="J5" s="8" t="str">
        <f>IF(D5="","",D5+H5+I5)</f>
        <v/>
      </c>
      <c r="K5" s="8" t="str">
        <f>IF(J5="","",J5*(F5/100))</f>
        <v/>
      </c>
      <c r="L5" s="8" t="str">
        <f>IF(J5="","",0.005*J5)</f>
        <v/>
      </c>
      <c r="M5" s="8" t="str">
        <f>IF(J5="","",(CONFIG!$B$2/100)*(J5+K5+L5))</f>
        <v/>
      </c>
      <c r="N5" s="8" t="str">
        <f>IF(K5="","",K5+L5+M5)</f>
        <v/>
      </c>
      <c r="O5" s="8" t="str">
        <f>IF(D5="","",D5*(CONFIG!$B$3/100))</f>
        <v/>
      </c>
      <c r="P5" s="8" t="str">
        <f>IF(E5="","",3.7*E5*(1+CONFIG!$B$2/100))</f>
        <v/>
      </c>
      <c r="Q5" s="8" t="str">
        <f>IF(P5="","",0.027*P5)</f>
        <v/>
      </c>
      <c r="R5" s="8" t="str">
        <f>IF(P5="","",0.017*P5)</f>
        <v/>
      </c>
      <c r="S5" s="8" t="str">
        <f>IF(E5="","",(30/35)*E5*(1+CONFIG!$B$2/100))</f>
        <v/>
      </c>
      <c r="T5" s="8" t="str">
        <f>IF(P5="","",P5+Q5+R5+S5)</f>
        <v/>
      </c>
      <c r="U5" s="8" t="str">
        <f>IF(D5="","",D5+O5+N5+T5)</f>
        <v/>
      </c>
      <c r="V5" s="8" t="str">
        <f>IF(U5="","",(G5/100)*U5)</f>
        <v/>
      </c>
      <c r="W5" s="8" t="str">
        <f>IF(M5="","",M5)</f>
        <v/>
      </c>
      <c r="X5" s="15" t="str">
        <f>IF(U5="","",U5+V5-W5)</f>
        <v/>
      </c>
      <c r="AB5" t="s">
        <v>30</v>
      </c>
    </row>
    <row r="6" spans="1:35" ht="18" customHeight="1" x14ac:dyDescent="0.25">
      <c r="A6" s="13" t="s">
        <v>1509</v>
      </c>
      <c r="B6" s="14" t="s">
        <v>1510</v>
      </c>
      <c r="C6" s="14" t="s">
        <v>253</v>
      </c>
      <c r="D6" s="10"/>
      <c r="E6" s="10"/>
      <c r="F6" s="10">
        <v>0</v>
      </c>
      <c r="G6" s="10">
        <f>CONFIG!$B$4</f>
        <v>20</v>
      </c>
      <c r="H6" s="8" t="str">
        <f>IF(D6="","",0.01*D6)</f>
        <v/>
      </c>
      <c r="I6" s="8" t="str">
        <f>IF(E6="","",4*E6)</f>
        <v/>
      </c>
      <c r="J6" s="8" t="str">
        <f>IF(D6="","",D6+H6+I6)</f>
        <v/>
      </c>
      <c r="K6" s="8" t="str">
        <f>IF(J6="","",J6*(F6/100))</f>
        <v/>
      </c>
      <c r="L6" s="8" t="str">
        <f>IF(J6="","",0.005*J6)</f>
        <v/>
      </c>
      <c r="M6" s="8" t="str">
        <f>IF(J6="","",(CONFIG!$B$2/100)*(J6+K6+L6))</f>
        <v/>
      </c>
      <c r="N6" s="8" t="str">
        <f>IF(K6="","",K6+L6+M6)</f>
        <v/>
      </c>
      <c r="O6" s="8" t="str">
        <f>IF(D6="","",D6*(CONFIG!$B$3/100))</f>
        <v/>
      </c>
      <c r="P6" s="8" t="str">
        <f>IF(E6="","",3.7*E6*(1+CONFIG!$B$2/100))</f>
        <v/>
      </c>
      <c r="Q6" s="8" t="str">
        <f>IF(P6="","",0.027*P6)</f>
        <v/>
      </c>
      <c r="R6" s="8" t="str">
        <f>IF(P6="","",0.017*P6)</f>
        <v/>
      </c>
      <c r="S6" s="8" t="str">
        <f>IF(E6="","",(30/35)*E6*(1+CONFIG!$B$2/100))</f>
        <v/>
      </c>
      <c r="T6" s="8" t="str">
        <f>IF(P6="","",P6+Q6+R6+S6)</f>
        <v/>
      </c>
      <c r="U6" s="8" t="str">
        <f>IF(D6="","",D6+O6+N6+T6)</f>
        <v/>
      </c>
      <c r="V6" s="8" t="str">
        <f>IF(U6="","",(G6/100)*U6)</f>
        <v/>
      </c>
      <c r="W6" s="8" t="str">
        <f>IF(M6="","",M6)</f>
        <v/>
      </c>
      <c r="X6" s="15" t="str">
        <f>IF(U6="","",U6+V6-W6)</f>
        <v/>
      </c>
      <c r="AB6" t="s">
        <v>30</v>
      </c>
    </row>
    <row r="7" spans="1:35" ht="18" customHeight="1" x14ac:dyDescent="0.25">
      <c r="A7" s="16" t="s">
        <v>1511</v>
      </c>
      <c r="B7" s="17" t="s">
        <v>1512</v>
      </c>
      <c r="C7" s="17"/>
      <c r="D7" s="18"/>
      <c r="E7" s="18"/>
      <c r="F7" s="18"/>
      <c r="G7" s="18">
        <f>CONFIG!$B$4</f>
        <v>20</v>
      </c>
      <c r="H7" s="8" t="str">
        <f>IF(D7="","",0.01*D7)</f>
        <v/>
      </c>
      <c r="I7" s="8" t="str">
        <f>IF(E7="","",4*E7)</f>
        <v/>
      </c>
      <c r="J7" s="8" t="str">
        <f>IF(D7="","",D7+H7+I7)</f>
        <v/>
      </c>
      <c r="K7" s="8" t="str">
        <f>IF(J7="","",J7*(F7/100))</f>
        <v/>
      </c>
      <c r="L7" s="8" t="str">
        <f>IF(J7="","",0.005*J7)</f>
        <v/>
      </c>
      <c r="M7" s="8" t="str">
        <f>IF(J7="","",(CONFIG!$B$2/100)*(J7+K7+L7))</f>
        <v/>
      </c>
      <c r="N7" s="8" t="str">
        <f>IF(K7="","",K7+L7+M7)</f>
        <v/>
      </c>
      <c r="O7" s="8" t="str">
        <f>IF(D7="","",D7*(CONFIG!$B$3/100))</f>
        <v/>
      </c>
      <c r="P7" s="8" t="str">
        <f>IF(E7="","",3.7*E7*(1+CONFIG!$B$2/100))</f>
        <v/>
      </c>
      <c r="Q7" s="8" t="str">
        <f>IF(P7="","",0.027*P7)</f>
        <v/>
      </c>
      <c r="R7" s="8" t="str">
        <f>IF(P7="","",0.017*P7)</f>
        <v/>
      </c>
      <c r="S7" s="8" t="str">
        <f>IF(E7="","",(30/35)*E7*(1+CONFIG!$B$2/100))</f>
        <v/>
      </c>
      <c r="T7" s="8" t="str">
        <f>IF(P7="","",P7+Q7+R7+S7)</f>
        <v/>
      </c>
      <c r="U7" s="8" t="str">
        <f>IF(D7="","",D7+O7+N7+T7)</f>
        <v/>
      </c>
      <c r="V7" s="8" t="str">
        <f>IF(U7="","",(G7/100)*U7)</f>
        <v/>
      </c>
      <c r="W7" s="8" t="str">
        <f>IF(M7="","",M7)</f>
        <v/>
      </c>
      <c r="X7" s="15" t="str">
        <f>IF(U7="","",U7+V7-W7)</f>
        <v/>
      </c>
      <c r="AB7" t="s">
        <v>30</v>
      </c>
    </row>
    <row r="8" spans="1:35" ht="18" customHeight="1" x14ac:dyDescent="0.25">
      <c r="A8" s="13" t="s">
        <v>1513</v>
      </c>
      <c r="B8" s="14" t="s">
        <v>1514</v>
      </c>
      <c r="C8" s="14"/>
      <c r="D8" s="10"/>
      <c r="E8" s="10"/>
      <c r="F8" s="10"/>
      <c r="G8" s="10">
        <f>CONFIG!$B$4</f>
        <v>20</v>
      </c>
      <c r="H8" s="8" t="str">
        <f>IF(D8="","",0.01*D8)</f>
        <v/>
      </c>
      <c r="I8" s="8" t="str">
        <f>IF(E8="","",4*E8)</f>
        <v/>
      </c>
      <c r="J8" s="8" t="str">
        <f>IF(D8="","",D8+H8+I8)</f>
        <v/>
      </c>
      <c r="K8" s="8" t="str">
        <f>IF(J8="","",J8*(F8/100))</f>
        <v/>
      </c>
      <c r="L8" s="8" t="str">
        <f>IF(J8="","",0.005*J8)</f>
        <v/>
      </c>
      <c r="M8" s="8" t="str">
        <f>IF(J8="","",(CONFIG!$B$2/100)*(J8+K8+L8))</f>
        <v/>
      </c>
      <c r="N8" s="8" t="str">
        <f>IF(K8="","",K8+L8+M8)</f>
        <v/>
      </c>
      <c r="O8" s="8" t="str">
        <f>IF(D8="","",D8*(CONFIG!$B$3/100))</f>
        <v/>
      </c>
      <c r="P8" s="8" t="str">
        <f>IF(E8="","",3.7*E8*(1+CONFIG!$B$2/100))</f>
        <v/>
      </c>
      <c r="Q8" s="8" t="str">
        <f>IF(P8="","",0.027*P8)</f>
        <v/>
      </c>
      <c r="R8" s="8" t="str">
        <f>IF(P8="","",0.017*P8)</f>
        <v/>
      </c>
      <c r="S8" s="8" t="str">
        <f>IF(E8="","",(30/35)*E8*(1+CONFIG!$B$2/100))</f>
        <v/>
      </c>
      <c r="T8" s="8" t="str">
        <f>IF(P8="","",P8+Q8+R8+S8)</f>
        <v/>
      </c>
      <c r="U8" s="8" t="str">
        <f>IF(D8="","",D8+O8+N8+T8)</f>
        <v/>
      </c>
      <c r="V8" s="8" t="str">
        <f>IF(U8="","",(G8/100)*U8)</f>
        <v/>
      </c>
      <c r="W8" s="8" t="str">
        <f>IF(M8="","",M8)</f>
        <v/>
      </c>
      <c r="X8" s="15" t="str">
        <f>IF(U8="","",U8+V8-W8)</f>
        <v/>
      </c>
      <c r="AB8" t="s">
        <v>30</v>
      </c>
    </row>
    <row r="9" spans="1:35" ht="18" customHeight="1" x14ac:dyDescent="0.25">
      <c r="A9" s="16" t="s">
        <v>1515</v>
      </c>
      <c r="B9" s="17" t="s">
        <v>1516</v>
      </c>
      <c r="C9" s="17"/>
      <c r="D9" s="18"/>
      <c r="E9" s="18"/>
      <c r="F9" s="18"/>
      <c r="G9" s="18">
        <f>CONFIG!$B$4</f>
        <v>20</v>
      </c>
      <c r="H9" s="8" t="str">
        <f>IF(D9="","",0.01*D9)</f>
        <v/>
      </c>
      <c r="I9" s="8" t="str">
        <f>IF(E9="","",4*E9)</f>
        <v/>
      </c>
      <c r="J9" s="8" t="str">
        <f>IF(D9="","",D9+H9+I9)</f>
        <v/>
      </c>
      <c r="K9" s="8" t="str">
        <f>IF(J9="","",J9*(F9/100))</f>
        <v/>
      </c>
      <c r="L9" s="8" t="str">
        <f>IF(J9="","",0.005*J9)</f>
        <v/>
      </c>
      <c r="M9" s="8" t="str">
        <f>IF(J9="","",(CONFIG!$B$2/100)*(J9+K9+L9))</f>
        <v/>
      </c>
      <c r="N9" s="8" t="str">
        <f>IF(K9="","",K9+L9+M9)</f>
        <v/>
      </c>
      <c r="O9" s="8" t="str">
        <f>IF(D9="","",D9*(CONFIG!$B$3/100))</f>
        <v/>
      </c>
      <c r="P9" s="8" t="str">
        <f>IF(E9="","",3.7*E9*(1+CONFIG!$B$2/100))</f>
        <v/>
      </c>
      <c r="Q9" s="8" t="str">
        <f>IF(P9="","",0.027*P9)</f>
        <v/>
      </c>
      <c r="R9" s="8" t="str">
        <f>IF(P9="","",0.017*P9)</f>
        <v/>
      </c>
      <c r="S9" s="8" t="str">
        <f>IF(E9="","",(30/35)*E9*(1+CONFIG!$B$2/100))</f>
        <v/>
      </c>
      <c r="T9" s="8" t="str">
        <f>IF(P9="","",P9+Q9+R9+S9)</f>
        <v/>
      </c>
      <c r="U9" s="8" t="str">
        <f>IF(D9="","",D9+O9+N9+T9)</f>
        <v/>
      </c>
      <c r="V9" s="8" t="str">
        <f>IF(U9="","",(G9/100)*U9)</f>
        <v/>
      </c>
      <c r="W9" s="8" t="str">
        <f>IF(M9="","",M9)</f>
        <v/>
      </c>
      <c r="X9" s="15" t="str">
        <f>IF(U9="","",U9+V9-W9)</f>
        <v/>
      </c>
      <c r="AB9" t="s">
        <v>30</v>
      </c>
    </row>
    <row r="10" spans="1:35" ht="18" customHeight="1" x14ac:dyDescent="0.25">
      <c r="A10" s="13" t="s">
        <v>1517</v>
      </c>
      <c r="B10" s="14" t="s">
        <v>1518</v>
      </c>
      <c r="C10" s="14"/>
      <c r="D10" s="10"/>
      <c r="E10" s="10"/>
      <c r="F10" s="10"/>
      <c r="G10" s="10">
        <f>CONFIG!$B$4</f>
        <v>20</v>
      </c>
      <c r="H10" s="8" t="str">
        <f>IF(D10="","",0.01*D10)</f>
        <v/>
      </c>
      <c r="I10" s="8" t="str">
        <f>IF(E10="","",4*E10)</f>
        <v/>
      </c>
      <c r="J10" s="8" t="str">
        <f>IF(D10="","",D10+H10+I10)</f>
        <v/>
      </c>
      <c r="K10" s="8" t="str">
        <f>IF(J10="","",J10*(F10/100))</f>
        <v/>
      </c>
      <c r="L10" s="8" t="str">
        <f>IF(J10="","",0.005*J10)</f>
        <v/>
      </c>
      <c r="M10" s="8" t="str">
        <f>IF(J10="","",(CONFIG!$B$2/100)*(J10+K10+L10))</f>
        <v/>
      </c>
      <c r="N10" s="8" t="str">
        <f>IF(K10="","",K10+L10+M10)</f>
        <v/>
      </c>
      <c r="O10" s="8" t="str">
        <f>IF(D10="","",D10*(CONFIG!$B$3/100))</f>
        <v/>
      </c>
      <c r="P10" s="8" t="str">
        <f>IF(E10="","",3.7*E10*(1+CONFIG!$B$2/100))</f>
        <v/>
      </c>
      <c r="Q10" s="8" t="str">
        <f>IF(P10="","",0.027*P10)</f>
        <v/>
      </c>
      <c r="R10" s="8" t="str">
        <f>IF(P10="","",0.017*P10)</f>
        <v/>
      </c>
      <c r="S10" s="8" t="str">
        <f>IF(E10="","",(30/35)*E10*(1+CONFIG!$B$2/100))</f>
        <v/>
      </c>
      <c r="T10" s="8" t="str">
        <f>IF(P10="","",P10+Q10+R10+S10)</f>
        <v/>
      </c>
      <c r="U10" s="8" t="str">
        <f>IF(D10="","",D10+O10+N10+T10)</f>
        <v/>
      </c>
      <c r="V10" s="8" t="str">
        <f>IF(U10="","",(G10/100)*U10)</f>
        <v/>
      </c>
      <c r="W10" s="8" t="str">
        <f>IF(M10="","",M10)</f>
        <v/>
      </c>
      <c r="X10" s="15" t="str">
        <f>IF(U10="","",U10+V10-W10)</f>
        <v/>
      </c>
      <c r="AB10" t="s">
        <v>30</v>
      </c>
    </row>
    <row r="11" spans="1:35" ht="18" customHeight="1" x14ac:dyDescent="0.25">
      <c r="A11" s="16" t="s">
        <v>1519</v>
      </c>
      <c r="B11" s="17" t="s">
        <v>1520</v>
      </c>
      <c r="C11" s="17" t="s">
        <v>1521</v>
      </c>
      <c r="D11" s="18"/>
      <c r="E11" s="18"/>
      <c r="F11" s="18">
        <v>15</v>
      </c>
      <c r="G11" s="18">
        <f>CONFIG!$B$4</f>
        <v>20</v>
      </c>
      <c r="H11" s="8" t="str">
        <f>IF(D11="","",0.01*D11)</f>
        <v/>
      </c>
      <c r="I11" s="8" t="str">
        <f>IF(E11="","",4*E11)</f>
        <v/>
      </c>
      <c r="J11" s="8" t="str">
        <f>IF(D11="","",D11+H11+I11)</f>
        <v/>
      </c>
      <c r="K11" s="8" t="str">
        <f>IF(J11="","",J11*(F11/100))</f>
        <v/>
      </c>
      <c r="L11" s="8" t="str">
        <f>IF(J11="","",0.005*J11)</f>
        <v/>
      </c>
      <c r="M11" s="8" t="str">
        <f>IF(J11="","",(CONFIG!$B$2/100)*(J11+K11+L11))</f>
        <v/>
      </c>
      <c r="N11" s="8" t="str">
        <f>IF(K11="","",K11+L11+M11)</f>
        <v/>
      </c>
      <c r="O11" s="8" t="str">
        <f>IF(D11="","",D11*(CONFIG!$B$3/100))</f>
        <v/>
      </c>
      <c r="P11" s="8" t="str">
        <f>IF(E11="","",3.7*E11*(1+CONFIG!$B$2/100))</f>
        <v/>
      </c>
      <c r="Q11" s="8" t="str">
        <f>IF(P11="","",0.027*P11)</f>
        <v/>
      </c>
      <c r="R11" s="8" t="str">
        <f>IF(P11="","",0.017*P11)</f>
        <v/>
      </c>
      <c r="S11" s="8" t="str">
        <f>IF(E11="","",(30/35)*E11*(1+CONFIG!$B$2/100))</f>
        <v/>
      </c>
      <c r="T11" s="8" t="str">
        <f>IF(P11="","",P11+Q11+R11+S11)</f>
        <v/>
      </c>
      <c r="U11" s="8" t="str">
        <f>IF(D11="","",D11+O11+N11+T11)</f>
        <v/>
      </c>
      <c r="V11" s="8" t="str">
        <f>IF(U11="","",(G11/100)*U11)</f>
        <v/>
      </c>
      <c r="W11" s="8" t="str">
        <f>IF(M11="","",M11)</f>
        <v/>
      </c>
      <c r="X11" s="15" t="str">
        <f>IF(U11="","",U11+V11-W11)</f>
        <v/>
      </c>
      <c r="AB11" t="s">
        <v>30</v>
      </c>
    </row>
    <row r="12" spans="1:35" ht="18" customHeight="1" x14ac:dyDescent="0.25">
      <c r="A12" s="13" t="s">
        <v>1522</v>
      </c>
      <c r="B12" s="14" t="s">
        <v>1523</v>
      </c>
      <c r="C12" s="14" t="s">
        <v>1316</v>
      </c>
      <c r="D12" s="10"/>
      <c r="E12" s="10"/>
      <c r="F12" s="10">
        <v>10</v>
      </c>
      <c r="G12" s="10">
        <f>CONFIG!$B$4</f>
        <v>20</v>
      </c>
      <c r="H12" s="8" t="str">
        <f>IF(D12="","",0.01*D12)</f>
        <v/>
      </c>
      <c r="I12" s="8" t="str">
        <f>IF(E12="","",4*E12)</f>
        <v/>
      </c>
      <c r="J12" s="8" t="str">
        <f>IF(D12="","",D12+H12+I12)</f>
        <v/>
      </c>
      <c r="K12" s="8" t="str">
        <f>IF(J12="","",J12*(F12/100))</f>
        <v/>
      </c>
      <c r="L12" s="8" t="str">
        <f>IF(J12="","",0.005*J12)</f>
        <v/>
      </c>
      <c r="M12" s="8" t="str">
        <f>IF(J12="","",(CONFIG!$B$2/100)*(J12+K12+L12))</f>
        <v/>
      </c>
      <c r="N12" s="8" t="str">
        <f>IF(K12="","",K12+L12+M12)</f>
        <v/>
      </c>
      <c r="O12" s="8" t="str">
        <f>IF(D12="","",D12*(CONFIG!$B$3/100))</f>
        <v/>
      </c>
      <c r="P12" s="8" t="str">
        <f>IF(E12="","",3.7*E12*(1+CONFIG!$B$2/100))</f>
        <v/>
      </c>
      <c r="Q12" s="8" t="str">
        <f>IF(P12="","",0.027*P12)</f>
        <v/>
      </c>
      <c r="R12" s="8" t="str">
        <f>IF(P12="","",0.017*P12)</f>
        <v/>
      </c>
      <c r="S12" s="8" t="str">
        <f>IF(E12="","",(30/35)*E12*(1+CONFIG!$B$2/100))</f>
        <v/>
      </c>
      <c r="T12" s="8" t="str">
        <f>IF(P12="","",P12+Q12+R12+S12)</f>
        <v/>
      </c>
      <c r="U12" s="8" t="str">
        <f>IF(D12="","",D12+O12+N12+T12)</f>
        <v/>
      </c>
      <c r="V12" s="8" t="str">
        <f>IF(U12="","",(G12/100)*U12)</f>
        <v/>
      </c>
      <c r="W12" s="8" t="str">
        <f>IF(M12="","",M12)</f>
        <v/>
      </c>
      <c r="X12" s="15" t="str">
        <f>IF(U12="","",U12+V12-W12)</f>
        <v/>
      </c>
      <c r="AB12" t="s">
        <v>30</v>
      </c>
    </row>
    <row r="13" spans="1:35" ht="18" customHeight="1" x14ac:dyDescent="0.25">
      <c r="A13" s="16" t="s">
        <v>1524</v>
      </c>
      <c r="B13" s="17" t="s">
        <v>1525</v>
      </c>
      <c r="C13" s="17"/>
      <c r="D13" s="18"/>
      <c r="E13" s="18"/>
      <c r="F13" s="18"/>
      <c r="G13" s="18">
        <f>CONFIG!$B$4</f>
        <v>20</v>
      </c>
      <c r="H13" s="8" t="str">
        <f>IF(D13="","",0.01*D13)</f>
        <v/>
      </c>
      <c r="I13" s="8" t="str">
        <f>IF(E13="","",4*E13)</f>
        <v/>
      </c>
      <c r="J13" s="8" t="str">
        <f>IF(D13="","",D13+H13+I13)</f>
        <v/>
      </c>
      <c r="K13" s="8" t="str">
        <f>IF(J13="","",J13*(F13/100))</f>
        <v/>
      </c>
      <c r="L13" s="8" t="str">
        <f>IF(J13="","",0.005*J13)</f>
        <v/>
      </c>
      <c r="M13" s="8" t="str">
        <f>IF(J13="","",(CONFIG!$B$2/100)*(J13+K13+L13))</f>
        <v/>
      </c>
      <c r="N13" s="8" t="str">
        <f>IF(K13="","",K13+L13+M13)</f>
        <v/>
      </c>
      <c r="O13" s="8" t="str">
        <f>IF(D13="","",D13*(CONFIG!$B$3/100))</f>
        <v/>
      </c>
      <c r="P13" s="8" t="str">
        <f>IF(E13="","",3.7*E13*(1+CONFIG!$B$2/100))</f>
        <v/>
      </c>
      <c r="Q13" s="8" t="str">
        <f>IF(P13="","",0.027*P13)</f>
        <v/>
      </c>
      <c r="R13" s="8" t="str">
        <f>IF(P13="","",0.017*P13)</f>
        <v/>
      </c>
      <c r="S13" s="8" t="str">
        <f>IF(E13="","",(30/35)*E13*(1+CONFIG!$B$2/100))</f>
        <v/>
      </c>
      <c r="T13" s="8" t="str">
        <f>IF(P13="","",P13+Q13+R13+S13)</f>
        <v/>
      </c>
      <c r="U13" s="8" t="str">
        <f>IF(D13="","",D13+O13+N13+T13)</f>
        <v/>
      </c>
      <c r="V13" s="8" t="str">
        <f>IF(U13="","",(G13/100)*U13)</f>
        <v/>
      </c>
      <c r="W13" s="8" t="str">
        <f>IF(M13="","",M13)</f>
        <v/>
      </c>
      <c r="X13" s="15" t="str">
        <f>IF(U13="","",U13+V13-W13)</f>
        <v/>
      </c>
      <c r="AB13" t="s">
        <v>30</v>
      </c>
    </row>
    <row r="14" spans="1:35" ht="18" customHeight="1" x14ac:dyDescent="0.25">
      <c r="A14" s="13" t="s">
        <v>1526</v>
      </c>
      <c r="B14" s="14" t="s">
        <v>1527</v>
      </c>
      <c r="C14" s="14" t="s">
        <v>1528</v>
      </c>
      <c r="D14" s="10"/>
      <c r="E14" s="10"/>
      <c r="F14" s="10">
        <v>10</v>
      </c>
      <c r="G14" s="10">
        <f>CONFIG!$B$4</f>
        <v>20</v>
      </c>
      <c r="H14" s="8" t="str">
        <f>IF(D14="","",0.01*D14)</f>
        <v/>
      </c>
      <c r="I14" s="8" t="str">
        <f>IF(E14="","",4*E14)</f>
        <v/>
      </c>
      <c r="J14" s="8" t="str">
        <f>IF(D14="","",D14+H14+I14)</f>
        <v/>
      </c>
      <c r="K14" s="8" t="str">
        <f>IF(J14="","",J14*(F14/100))</f>
        <v/>
      </c>
      <c r="L14" s="8" t="str">
        <f>IF(J14="","",0.005*J14)</f>
        <v/>
      </c>
      <c r="M14" s="8" t="str">
        <f>IF(J14="","",(CONFIG!$B$2/100)*(J14+K14+L14))</f>
        <v/>
      </c>
      <c r="N14" s="8" t="str">
        <f>IF(K14="","",K14+L14+M14)</f>
        <v/>
      </c>
      <c r="O14" s="8" t="str">
        <f>IF(D14="","",D14*(CONFIG!$B$3/100))</f>
        <v/>
      </c>
      <c r="P14" s="8" t="str">
        <f>IF(E14="","",3.7*E14*(1+CONFIG!$B$2/100))</f>
        <v/>
      </c>
      <c r="Q14" s="8" t="str">
        <f>IF(P14="","",0.027*P14)</f>
        <v/>
      </c>
      <c r="R14" s="8" t="str">
        <f>IF(P14="","",0.017*P14)</f>
        <v/>
      </c>
      <c r="S14" s="8" t="str">
        <f>IF(E14="","",(30/35)*E14*(1+CONFIG!$B$2/100))</f>
        <v/>
      </c>
      <c r="T14" s="8" t="str">
        <f>IF(P14="","",P14+Q14+R14+S14)</f>
        <v/>
      </c>
      <c r="U14" s="8" t="str">
        <f>IF(D14="","",D14+O14+N14+T14)</f>
        <v/>
      </c>
      <c r="V14" s="8" t="str">
        <f>IF(U14="","",(G14/100)*U14)</f>
        <v/>
      </c>
      <c r="W14" s="8" t="str">
        <f>IF(M14="","",M14)</f>
        <v/>
      </c>
      <c r="X14" s="15" t="str">
        <f>IF(U14="","",U14+V14-W14)</f>
        <v/>
      </c>
      <c r="AB14" t="s">
        <v>30</v>
      </c>
    </row>
    <row r="15" spans="1:35" ht="18" customHeight="1" x14ac:dyDescent="0.25">
      <c r="A15" s="16" t="s">
        <v>1529</v>
      </c>
      <c r="B15" s="17" t="s">
        <v>1530</v>
      </c>
      <c r="C15" s="17"/>
      <c r="D15" s="18"/>
      <c r="E15" s="18"/>
      <c r="F15" s="18"/>
      <c r="G15" s="18">
        <f>CONFIG!$B$4</f>
        <v>20</v>
      </c>
      <c r="H15" s="8" t="str">
        <f>IF(D15="","",0.01*D15)</f>
        <v/>
      </c>
      <c r="I15" s="8" t="str">
        <f>IF(E15="","",4*E15)</f>
        <v/>
      </c>
      <c r="J15" s="8" t="str">
        <f>IF(D15="","",D15+H15+I15)</f>
        <v/>
      </c>
      <c r="K15" s="8" t="str">
        <f>IF(J15="","",J15*(F15/100))</f>
        <v/>
      </c>
      <c r="L15" s="8" t="str">
        <f>IF(J15="","",0.005*J15)</f>
        <v/>
      </c>
      <c r="M15" s="8" t="str">
        <f>IF(J15="","",(CONFIG!$B$2/100)*(J15+K15+L15))</f>
        <v/>
      </c>
      <c r="N15" s="8" t="str">
        <f>IF(K15="","",K15+L15+M15)</f>
        <v/>
      </c>
      <c r="O15" s="8" t="str">
        <f>IF(D15="","",D15*(CONFIG!$B$3/100))</f>
        <v/>
      </c>
      <c r="P15" s="8" t="str">
        <f>IF(E15="","",3.7*E15*(1+CONFIG!$B$2/100))</f>
        <v/>
      </c>
      <c r="Q15" s="8" t="str">
        <f>IF(P15="","",0.027*P15)</f>
        <v/>
      </c>
      <c r="R15" s="8" t="str">
        <f>IF(P15="","",0.017*P15)</f>
        <v/>
      </c>
      <c r="S15" s="8" t="str">
        <f>IF(E15="","",(30/35)*E15*(1+CONFIG!$B$2/100))</f>
        <v/>
      </c>
      <c r="T15" s="8" t="str">
        <f>IF(P15="","",P15+Q15+R15+S15)</f>
        <v/>
      </c>
      <c r="U15" s="8" t="str">
        <f>IF(D15="","",D15+O15+N15+T15)</f>
        <v/>
      </c>
      <c r="V15" s="8" t="str">
        <f>IF(U15="","",(G15/100)*U15)</f>
        <v/>
      </c>
      <c r="W15" s="8" t="str">
        <f>IF(M15="","",M15)</f>
        <v/>
      </c>
      <c r="X15" s="15" t="str">
        <f>IF(U15="","",U15+V15-W15)</f>
        <v/>
      </c>
      <c r="AB15" t="s">
        <v>30</v>
      </c>
    </row>
    <row r="16" spans="1:35" ht="18" customHeight="1" x14ac:dyDescent="0.25">
      <c r="A16" s="13" t="s">
        <v>1531</v>
      </c>
      <c r="B16" s="14" t="s">
        <v>372</v>
      </c>
      <c r="C16" s="14"/>
      <c r="D16" s="10"/>
      <c r="E16" s="10"/>
      <c r="F16" s="10"/>
      <c r="G16" s="10">
        <f>CONFIG!$B$4</f>
        <v>20</v>
      </c>
      <c r="H16" s="8" t="str">
        <f>IF(D16="","",0.01*D16)</f>
        <v/>
      </c>
      <c r="I16" s="8" t="str">
        <f>IF(E16="","",4*E16)</f>
        <v/>
      </c>
      <c r="J16" s="8" t="str">
        <f>IF(D16="","",D16+H16+I16)</f>
        <v/>
      </c>
      <c r="K16" s="8" t="str">
        <f>IF(J16="","",J16*(F16/100))</f>
        <v/>
      </c>
      <c r="L16" s="8" t="str">
        <f>IF(J16="","",0.005*J16)</f>
        <v/>
      </c>
      <c r="M16" s="8" t="str">
        <f>IF(J16="","",(CONFIG!$B$2/100)*(J16+K16+L16))</f>
        <v/>
      </c>
      <c r="N16" s="8" t="str">
        <f>IF(K16="","",K16+L16+M16)</f>
        <v/>
      </c>
      <c r="O16" s="8" t="str">
        <f>IF(D16="","",D16*(CONFIG!$B$3/100))</f>
        <v/>
      </c>
      <c r="P16" s="8" t="str">
        <f>IF(E16="","",3.7*E16*(1+CONFIG!$B$2/100))</f>
        <v/>
      </c>
      <c r="Q16" s="8" t="str">
        <f>IF(P16="","",0.027*P16)</f>
        <v/>
      </c>
      <c r="R16" s="8" t="str">
        <f>IF(P16="","",0.017*P16)</f>
        <v/>
      </c>
      <c r="S16" s="8" t="str">
        <f>IF(E16="","",(30/35)*E16*(1+CONFIG!$B$2/100))</f>
        <v/>
      </c>
      <c r="T16" s="8" t="str">
        <f>IF(P16="","",P16+Q16+R16+S16)</f>
        <v/>
      </c>
      <c r="U16" s="8" t="str">
        <f>IF(D16="","",D16+O16+N16+T16)</f>
        <v/>
      </c>
      <c r="V16" s="8" t="str">
        <f>IF(U16="","",(G16/100)*U16)</f>
        <v/>
      </c>
      <c r="W16" s="8" t="str">
        <f>IF(M16="","",M16)</f>
        <v/>
      </c>
      <c r="X16" s="15" t="str">
        <f>IF(U16="","",U16+V16-W16)</f>
        <v/>
      </c>
      <c r="AB16" t="s">
        <v>30</v>
      </c>
    </row>
    <row r="17" spans="1:28" ht="18" customHeight="1" x14ac:dyDescent="0.25">
      <c r="A17" s="16" t="s">
        <v>1532</v>
      </c>
      <c r="B17" s="17" t="s">
        <v>1533</v>
      </c>
      <c r="C17" s="17"/>
      <c r="D17" s="18"/>
      <c r="E17" s="18"/>
      <c r="F17" s="18"/>
      <c r="G17" s="18">
        <f>CONFIG!$B$4</f>
        <v>20</v>
      </c>
      <c r="H17" s="8" t="str">
        <f>IF(D17="","",0.01*D17)</f>
        <v/>
      </c>
      <c r="I17" s="8" t="str">
        <f>IF(E17="","",4*E17)</f>
        <v/>
      </c>
      <c r="J17" s="8" t="str">
        <f>IF(D17="","",D17+H17+I17)</f>
        <v/>
      </c>
      <c r="K17" s="8" t="str">
        <f>IF(J17="","",J17*(F17/100))</f>
        <v/>
      </c>
      <c r="L17" s="8" t="str">
        <f>IF(J17="","",0.005*J17)</f>
        <v/>
      </c>
      <c r="M17" s="8" t="str">
        <f>IF(J17="","",(CONFIG!$B$2/100)*(J17+K17+L17))</f>
        <v/>
      </c>
      <c r="N17" s="8" t="str">
        <f>IF(K17="","",K17+L17+M17)</f>
        <v/>
      </c>
      <c r="O17" s="8" t="str">
        <f>IF(D17="","",D17*(CONFIG!$B$3/100))</f>
        <v/>
      </c>
      <c r="P17" s="8" t="str">
        <f>IF(E17="","",3.7*E17*(1+CONFIG!$B$2/100))</f>
        <v/>
      </c>
      <c r="Q17" s="8" t="str">
        <f>IF(P17="","",0.027*P17)</f>
        <v/>
      </c>
      <c r="R17" s="8" t="str">
        <f>IF(P17="","",0.017*P17)</f>
        <v/>
      </c>
      <c r="S17" s="8" t="str">
        <f>IF(E17="","",(30/35)*E17*(1+CONFIG!$B$2/100))</f>
        <v/>
      </c>
      <c r="T17" s="8" t="str">
        <f>IF(P17="","",P17+Q17+R17+S17)</f>
        <v/>
      </c>
      <c r="U17" s="8" t="str">
        <f>IF(D17="","",D17+O17+N17+T17)</f>
        <v/>
      </c>
      <c r="V17" s="8" t="str">
        <f>IF(U17="","",(G17/100)*U17)</f>
        <v/>
      </c>
      <c r="W17" s="8" t="str">
        <f>IF(M17="","",M17)</f>
        <v/>
      </c>
      <c r="X17" s="15" t="str">
        <f>IF(U17="","",U17+V17-W17)</f>
        <v/>
      </c>
      <c r="AB17" t="s">
        <v>30</v>
      </c>
    </row>
    <row r="18" spans="1:28" ht="18" customHeight="1" x14ac:dyDescent="0.25">
      <c r="A18" s="13" t="s">
        <v>1534</v>
      </c>
      <c r="B18" s="14" t="s">
        <v>1123</v>
      </c>
      <c r="C18" s="14"/>
      <c r="D18" s="10"/>
      <c r="E18" s="10"/>
      <c r="F18" s="10"/>
      <c r="G18" s="10">
        <f>CONFIG!$B$4</f>
        <v>20</v>
      </c>
      <c r="H18" s="8" t="str">
        <f>IF(D18="","",0.01*D18)</f>
        <v/>
      </c>
      <c r="I18" s="8" t="str">
        <f>IF(E18="","",4*E18)</f>
        <v/>
      </c>
      <c r="J18" s="8" t="str">
        <f>IF(D18="","",D18+H18+I18)</f>
        <v/>
      </c>
      <c r="K18" s="8" t="str">
        <f>IF(J18="","",J18*(F18/100))</f>
        <v/>
      </c>
      <c r="L18" s="8" t="str">
        <f>IF(J18="","",0.005*J18)</f>
        <v/>
      </c>
      <c r="M18" s="8" t="str">
        <f>IF(J18="","",(CONFIG!$B$2/100)*(J18+K18+L18))</f>
        <v/>
      </c>
      <c r="N18" s="8" t="str">
        <f>IF(K18="","",K18+L18+M18)</f>
        <v/>
      </c>
      <c r="O18" s="8" t="str">
        <f>IF(D18="","",D18*(CONFIG!$B$3/100))</f>
        <v/>
      </c>
      <c r="P18" s="8" t="str">
        <f>IF(E18="","",3.7*E18*(1+CONFIG!$B$2/100))</f>
        <v/>
      </c>
      <c r="Q18" s="8" t="str">
        <f>IF(P18="","",0.027*P18)</f>
        <v/>
      </c>
      <c r="R18" s="8" t="str">
        <f>IF(P18="","",0.017*P18)</f>
        <v/>
      </c>
      <c r="S18" s="8" t="str">
        <f>IF(E18="","",(30/35)*E18*(1+CONFIG!$B$2/100))</f>
        <v/>
      </c>
      <c r="T18" s="8" t="str">
        <f>IF(P18="","",P18+Q18+R18+S18)</f>
        <v/>
      </c>
      <c r="U18" s="8" t="str">
        <f>IF(D18="","",D18+O18+N18+T18)</f>
        <v/>
      </c>
      <c r="V18" s="8" t="str">
        <f>IF(U18="","",(G18/100)*U18)</f>
        <v/>
      </c>
      <c r="W18" s="8" t="str">
        <f>IF(M18="","",M18)</f>
        <v/>
      </c>
      <c r="X18" s="15" t="str">
        <f>IF(U18="","",U18+V18-W18)</f>
        <v/>
      </c>
      <c r="AB18" t="s">
        <v>30</v>
      </c>
    </row>
    <row r="19" spans="1:28" ht="18" customHeight="1" x14ac:dyDescent="0.25">
      <c r="A19" s="16" t="s">
        <v>1535</v>
      </c>
      <c r="B19" s="17" t="s">
        <v>377</v>
      </c>
      <c r="C19" s="17" t="s">
        <v>170</v>
      </c>
      <c r="D19" s="18"/>
      <c r="E19" s="18"/>
      <c r="F19" s="18">
        <v>0</v>
      </c>
      <c r="G19" s="18">
        <f>CONFIG!$B$4</f>
        <v>20</v>
      </c>
      <c r="H19" s="8" t="str">
        <f>IF(D19="","",0.01*D19)</f>
        <v/>
      </c>
      <c r="I19" s="8" t="str">
        <f>IF(E19="","",4*E19)</f>
        <v/>
      </c>
      <c r="J19" s="8" t="str">
        <f>IF(D19="","",D19+H19+I19)</f>
        <v/>
      </c>
      <c r="K19" s="8" t="str">
        <f>IF(J19="","",J19*(F19/100))</f>
        <v/>
      </c>
      <c r="L19" s="8" t="str">
        <f>IF(J19="","",0.005*J19)</f>
        <v/>
      </c>
      <c r="M19" s="8" t="str">
        <f>IF(J19="","",(CONFIG!$B$2/100)*(J19+K19+L19))</f>
        <v/>
      </c>
      <c r="N19" s="8" t="str">
        <f>IF(K19="","",K19+L19+M19)</f>
        <v/>
      </c>
      <c r="O19" s="8" t="str">
        <f>IF(D19="","",D19*(CONFIG!$B$3/100))</f>
        <v/>
      </c>
      <c r="P19" s="8" t="str">
        <f>IF(E19="","",3.7*E19*(1+CONFIG!$B$2/100))</f>
        <v/>
      </c>
      <c r="Q19" s="8" t="str">
        <f>IF(P19="","",0.027*P19)</f>
        <v/>
      </c>
      <c r="R19" s="8" t="str">
        <f>IF(P19="","",0.017*P19)</f>
        <v/>
      </c>
      <c r="S19" s="8" t="str">
        <f>IF(E19="","",(30/35)*E19*(1+CONFIG!$B$2/100))</f>
        <v/>
      </c>
      <c r="T19" s="8" t="str">
        <f>IF(P19="","",P19+Q19+R19+S19)</f>
        <v/>
      </c>
      <c r="U19" s="8" t="str">
        <f>IF(D19="","",D19+O19+N19+T19)</f>
        <v/>
      </c>
      <c r="V19" s="8" t="str">
        <f>IF(U19="","",(G19/100)*U19)</f>
        <v/>
      </c>
      <c r="W19" s="8" t="str">
        <f>IF(M19="","",M19)</f>
        <v/>
      </c>
      <c r="X19" s="15" t="str">
        <f>IF(U19="","",U19+V19-W19)</f>
        <v/>
      </c>
      <c r="AB19" t="s">
        <v>30</v>
      </c>
    </row>
    <row r="20" spans="1:28" ht="18" customHeight="1" x14ac:dyDescent="0.25">
      <c r="A20" s="13" t="s">
        <v>1536</v>
      </c>
      <c r="B20" s="14" t="s">
        <v>1537</v>
      </c>
      <c r="C20" s="14" t="s">
        <v>170</v>
      </c>
      <c r="D20" s="10"/>
      <c r="E20" s="10"/>
      <c r="F20" s="10">
        <v>0</v>
      </c>
      <c r="G20" s="10">
        <f>CONFIG!$B$4</f>
        <v>20</v>
      </c>
      <c r="H20" s="8" t="str">
        <f>IF(D20="","",0.01*D20)</f>
        <v/>
      </c>
      <c r="I20" s="8" t="str">
        <f>IF(E20="","",4*E20)</f>
        <v/>
      </c>
      <c r="J20" s="8" t="str">
        <f>IF(D20="","",D20+H20+I20)</f>
        <v/>
      </c>
      <c r="K20" s="8" t="str">
        <f>IF(J20="","",J20*(F20/100))</f>
        <v/>
      </c>
      <c r="L20" s="8" t="str">
        <f>IF(J20="","",0.005*J20)</f>
        <v/>
      </c>
      <c r="M20" s="8" t="str">
        <f>IF(J20="","",(CONFIG!$B$2/100)*(J20+K20+L20))</f>
        <v/>
      </c>
      <c r="N20" s="8" t="str">
        <f>IF(K20="","",K20+L20+M20)</f>
        <v/>
      </c>
      <c r="O20" s="8" t="str">
        <f>IF(D20="","",D20*(CONFIG!$B$3/100))</f>
        <v/>
      </c>
      <c r="P20" s="8" t="str">
        <f>IF(E20="","",3.7*E20*(1+CONFIG!$B$2/100))</f>
        <v/>
      </c>
      <c r="Q20" s="8" t="str">
        <f>IF(P20="","",0.027*P20)</f>
        <v/>
      </c>
      <c r="R20" s="8" t="str">
        <f>IF(P20="","",0.017*P20)</f>
        <v/>
      </c>
      <c r="S20" s="8" t="str">
        <f>IF(E20="","",(30/35)*E20*(1+CONFIG!$B$2/100))</f>
        <v/>
      </c>
      <c r="T20" s="8" t="str">
        <f>IF(P20="","",P20+Q20+R20+S20)</f>
        <v/>
      </c>
      <c r="U20" s="8" t="str">
        <f>IF(D20="","",D20+O20+N20+T20)</f>
        <v/>
      </c>
      <c r="V20" s="8" t="str">
        <f>IF(U20="","",(G20/100)*U20)</f>
        <v/>
      </c>
      <c r="W20" s="8" t="str">
        <f>IF(M20="","",M20)</f>
        <v/>
      </c>
      <c r="X20" s="15" t="str">
        <f>IF(U20="","",U20+V20-W20)</f>
        <v/>
      </c>
      <c r="AB20" t="s">
        <v>30</v>
      </c>
    </row>
    <row r="21" spans="1:28" ht="18" customHeight="1" x14ac:dyDescent="0.25">
      <c r="A21" s="16" t="s">
        <v>1538</v>
      </c>
      <c r="B21" s="17" t="s">
        <v>1539</v>
      </c>
      <c r="C21" s="17" t="s">
        <v>45</v>
      </c>
      <c r="D21" s="18"/>
      <c r="E21" s="18"/>
      <c r="F21" s="18">
        <v>0</v>
      </c>
      <c r="G21" s="18">
        <f>CONFIG!$B$4</f>
        <v>20</v>
      </c>
      <c r="H21" s="8" t="str">
        <f>IF(D21="","",0.01*D21)</f>
        <v/>
      </c>
      <c r="I21" s="8" t="str">
        <f>IF(E21="","",4*E21)</f>
        <v/>
      </c>
      <c r="J21" s="8" t="str">
        <f>IF(D21="","",D21+H21+I21)</f>
        <v/>
      </c>
      <c r="K21" s="8" t="str">
        <f>IF(J21="","",J21*(F21/100))</f>
        <v/>
      </c>
      <c r="L21" s="8" t="str">
        <f>IF(J21="","",0.005*J21)</f>
        <v/>
      </c>
      <c r="M21" s="8" t="str">
        <f>IF(J21="","",(CONFIG!$B$2/100)*(J21+K21+L21))</f>
        <v/>
      </c>
      <c r="N21" s="8" t="str">
        <f>IF(K21="","",K21+L21+M21)</f>
        <v/>
      </c>
      <c r="O21" s="8" t="str">
        <f>IF(D21="","",D21*(CONFIG!$B$3/100))</f>
        <v/>
      </c>
      <c r="P21" s="8" t="str">
        <f>IF(E21="","",3.7*E21*(1+CONFIG!$B$2/100))</f>
        <v/>
      </c>
      <c r="Q21" s="8" t="str">
        <f>IF(P21="","",0.027*P21)</f>
        <v/>
      </c>
      <c r="R21" s="8" t="str">
        <f>IF(P21="","",0.017*P21)</f>
        <v/>
      </c>
      <c r="S21" s="8" t="str">
        <f>IF(E21="","",(30/35)*E21*(1+CONFIG!$B$2/100))</f>
        <v/>
      </c>
      <c r="T21" s="8" t="str">
        <f>IF(P21="","",P21+Q21+R21+S21)</f>
        <v/>
      </c>
      <c r="U21" s="8" t="str">
        <f>IF(D21="","",D21+O21+N21+T21)</f>
        <v/>
      </c>
      <c r="V21" s="8" t="str">
        <f>IF(U21="","",(G21/100)*U21)</f>
        <v/>
      </c>
      <c r="W21" s="8" t="str">
        <f>IF(M21="","",M21)</f>
        <v/>
      </c>
      <c r="X21" s="15" t="str">
        <f>IF(U21="","",U21+V21-W21)</f>
        <v/>
      </c>
      <c r="AB21" t="s">
        <v>30</v>
      </c>
    </row>
    <row r="22" spans="1:28" ht="18" customHeight="1" x14ac:dyDescent="0.25">
      <c r="A22" s="13" t="s">
        <v>1540</v>
      </c>
      <c r="B22" s="14" t="s">
        <v>1541</v>
      </c>
      <c r="C22" s="14" t="s">
        <v>1316</v>
      </c>
      <c r="D22" s="10"/>
      <c r="E22" s="10"/>
      <c r="F22" s="10">
        <v>10</v>
      </c>
      <c r="G22" s="10">
        <f>CONFIG!$B$4</f>
        <v>20</v>
      </c>
      <c r="H22" s="8" t="str">
        <f>IF(D22="","",0.01*D22)</f>
        <v/>
      </c>
      <c r="I22" s="8" t="str">
        <f>IF(E22="","",4*E22)</f>
        <v/>
      </c>
      <c r="J22" s="8" t="str">
        <f>IF(D22="","",D22+H22+I22)</f>
        <v/>
      </c>
      <c r="K22" s="8" t="str">
        <f>IF(J22="","",J22*(F22/100))</f>
        <v/>
      </c>
      <c r="L22" s="8" t="str">
        <f>IF(J22="","",0.005*J22)</f>
        <v/>
      </c>
      <c r="M22" s="8" t="str">
        <f>IF(J22="","",(CONFIG!$B$2/100)*(J22+K22+L22))</f>
        <v/>
      </c>
      <c r="N22" s="8" t="str">
        <f>IF(K22="","",K22+L22+M22)</f>
        <v/>
      </c>
      <c r="O22" s="8" t="str">
        <f>IF(D22="","",D22*(CONFIG!$B$3/100))</f>
        <v/>
      </c>
      <c r="P22" s="8" t="str">
        <f>IF(E22="","",3.7*E22*(1+CONFIG!$B$2/100))</f>
        <v/>
      </c>
      <c r="Q22" s="8" t="str">
        <f>IF(P22="","",0.027*P22)</f>
        <v/>
      </c>
      <c r="R22" s="8" t="str">
        <f>IF(P22="","",0.017*P22)</f>
        <v/>
      </c>
      <c r="S22" s="8" t="str">
        <f>IF(E22="","",(30/35)*E22*(1+CONFIG!$B$2/100))</f>
        <v/>
      </c>
      <c r="T22" s="8" t="str">
        <f>IF(P22="","",P22+Q22+R22+S22)</f>
        <v/>
      </c>
      <c r="U22" s="8" t="str">
        <f>IF(D22="","",D22+O22+N22+T22)</f>
        <v/>
      </c>
      <c r="V22" s="8" t="str">
        <f>IF(U22="","",(G22/100)*U22)</f>
        <v/>
      </c>
      <c r="W22" s="8" t="str">
        <f>IF(M22="","",M22)</f>
        <v/>
      </c>
      <c r="X22" s="15" t="str">
        <f>IF(U22="","",U22+V22-W22)</f>
        <v/>
      </c>
      <c r="AB22" t="s">
        <v>30</v>
      </c>
    </row>
    <row r="23" spans="1:28" ht="18" customHeight="1" x14ac:dyDescent="0.25">
      <c r="A23" s="16" t="s">
        <v>1542</v>
      </c>
      <c r="B23" s="17" t="s">
        <v>1543</v>
      </c>
      <c r="C23" s="17" t="s">
        <v>80</v>
      </c>
      <c r="D23" s="18"/>
      <c r="E23" s="18"/>
      <c r="F23" s="18">
        <v>8</v>
      </c>
      <c r="G23" s="18">
        <f>CONFIG!$B$4</f>
        <v>20</v>
      </c>
      <c r="H23" s="8" t="str">
        <f>IF(D23="","",0.01*D23)</f>
        <v/>
      </c>
      <c r="I23" s="8" t="str">
        <f>IF(E23="","",4*E23)</f>
        <v/>
      </c>
      <c r="J23" s="8" t="str">
        <f>IF(D23="","",D23+H23+I23)</f>
        <v/>
      </c>
      <c r="K23" s="8" t="str">
        <f>IF(J23="","",J23*(F23/100))</f>
        <v/>
      </c>
      <c r="L23" s="8" t="str">
        <f>IF(J23="","",0.005*J23)</f>
        <v/>
      </c>
      <c r="M23" s="8" t="str">
        <f>IF(J23="","",(CONFIG!$B$2/100)*(J23+K23+L23))</f>
        <v/>
      </c>
      <c r="N23" s="8" t="str">
        <f>IF(K23="","",K23+L23+M23)</f>
        <v/>
      </c>
      <c r="O23" s="8" t="str">
        <f>IF(D23="","",D23*(CONFIG!$B$3/100))</f>
        <v/>
      </c>
      <c r="P23" s="8" t="str">
        <f>IF(E23="","",3.7*E23*(1+CONFIG!$B$2/100))</f>
        <v/>
      </c>
      <c r="Q23" s="8" t="str">
        <f>IF(P23="","",0.027*P23)</f>
        <v/>
      </c>
      <c r="R23" s="8" t="str">
        <f>IF(P23="","",0.017*P23)</f>
        <v/>
      </c>
      <c r="S23" s="8" t="str">
        <f>IF(E23="","",(30/35)*E23*(1+CONFIG!$B$2/100))</f>
        <v/>
      </c>
      <c r="T23" s="8" t="str">
        <f>IF(P23="","",P23+Q23+R23+S23)</f>
        <v/>
      </c>
      <c r="U23" s="8" t="str">
        <f>IF(D23="","",D23+O23+N23+T23)</f>
        <v/>
      </c>
      <c r="V23" s="8" t="str">
        <f>IF(U23="","",(G23/100)*U23)</f>
        <v/>
      </c>
      <c r="W23" s="8" t="str">
        <f>IF(M23="","",M23)</f>
        <v/>
      </c>
      <c r="X23" s="15" t="str">
        <f>IF(U23="","",U23+V23-W23)</f>
        <v/>
      </c>
      <c r="AB23" t="s">
        <v>30</v>
      </c>
    </row>
    <row r="24" spans="1:28" ht="18" customHeight="1" x14ac:dyDescent="0.25"/>
    <row r="25" spans="1:28" ht="18" customHeight="1" x14ac:dyDescent="0.25"/>
    <row r="26" spans="1:28" ht="18" customHeight="1" x14ac:dyDescent="0.25"/>
    <row r="27" spans="1:28" ht="18" customHeight="1" x14ac:dyDescent="0.25"/>
    <row r="28" spans="1:28" ht="18" customHeight="1" x14ac:dyDescent="0.25"/>
    <row r="29" spans="1:28" ht="18" customHeight="1" x14ac:dyDescent="0.25"/>
    <row r="30" spans="1:28" ht="18" customHeight="1" x14ac:dyDescent="0.25"/>
    <row r="31" spans="1:28" ht="18" customHeight="1" x14ac:dyDescent="0.25"/>
    <row r="32" spans="1:28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  <row r="65" ht="18" customHeight="1" x14ac:dyDescent="0.25"/>
    <row r="66" ht="18" customHeight="1" x14ac:dyDescent="0.25"/>
    <row r="67" ht="18" customHeight="1" x14ac:dyDescent="0.25"/>
    <row r="68" ht="18" customHeight="1" x14ac:dyDescent="0.25"/>
    <row r="69" ht="18" customHeight="1" x14ac:dyDescent="0.25"/>
    <row r="70" ht="18" customHeight="1" x14ac:dyDescent="0.25"/>
    <row r="71" ht="18" customHeight="1" x14ac:dyDescent="0.25"/>
    <row r="72" ht="18" customHeight="1" x14ac:dyDescent="0.25"/>
    <row r="73" ht="18" customHeight="1" x14ac:dyDescent="0.25"/>
    <row r="74" ht="18" customHeight="1" x14ac:dyDescent="0.25"/>
    <row r="75" ht="18" customHeight="1" x14ac:dyDescent="0.25"/>
    <row r="76" ht="18" customHeight="1" x14ac:dyDescent="0.25"/>
    <row r="77" ht="18" customHeight="1" x14ac:dyDescent="0.25"/>
    <row r="78" ht="18" customHeight="1" x14ac:dyDescent="0.25"/>
    <row r="79" ht="18" customHeight="1" x14ac:dyDescent="0.25"/>
    <row r="80" ht="18" customHeight="1" x14ac:dyDescent="0.25"/>
    <row r="81" ht="18" customHeight="1" x14ac:dyDescent="0.25"/>
    <row r="82" ht="18" customHeight="1" x14ac:dyDescent="0.25"/>
    <row r="83" ht="18" customHeight="1" x14ac:dyDescent="0.25"/>
    <row r="84" ht="18" customHeight="1" x14ac:dyDescent="0.25"/>
    <row r="85" ht="18" customHeight="1" x14ac:dyDescent="0.25"/>
    <row r="86" ht="18" customHeight="1" x14ac:dyDescent="0.25"/>
    <row r="87" ht="18" customHeight="1" x14ac:dyDescent="0.25"/>
  </sheetData>
  <mergeCells count="2">
    <mergeCell ref="A1:Y1"/>
    <mergeCell ref="A3:Y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F96F6-EB2A-4E71-9CC6-CC3893035D32}">
  <sheetPr codeName="Sheet3"/>
  <dimension ref="A1:AI502"/>
  <sheetViews>
    <sheetView topLeftCell="A167" workbookViewId="0">
      <selection activeCell="A164" sqref="A164:B193"/>
    </sheetView>
  </sheetViews>
  <sheetFormatPr defaultRowHeight="15" x14ac:dyDescent="0.25"/>
  <cols>
    <col min="1" max="1" width="29.5703125" customWidth="1"/>
  </cols>
  <sheetData>
    <row r="1" spans="1:35" ht="58.5" customHeight="1" x14ac:dyDescent="0.25">
      <c r="A1" s="28" t="s">
        <v>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</row>
    <row r="2" spans="1:35" ht="24.75" thickBot="1" x14ac:dyDescent="0.3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  <c r="F2" s="3" t="s">
        <v>10</v>
      </c>
      <c r="G2" s="3" t="s">
        <v>11</v>
      </c>
      <c r="H2" s="4" t="s">
        <v>12</v>
      </c>
      <c r="I2" s="4" t="s">
        <v>13</v>
      </c>
      <c r="J2" s="4" t="s">
        <v>14</v>
      </c>
      <c r="K2" s="4" t="s">
        <v>15</v>
      </c>
      <c r="L2" s="4" t="s">
        <v>16</v>
      </c>
      <c r="M2" s="4" t="s">
        <v>17</v>
      </c>
      <c r="N2" s="4" t="s">
        <v>18</v>
      </c>
      <c r="O2" s="4" t="s">
        <v>19</v>
      </c>
      <c r="P2" s="4" t="s">
        <v>20</v>
      </c>
      <c r="Q2" s="4" t="s">
        <v>21</v>
      </c>
      <c r="R2" s="4" t="s">
        <v>22</v>
      </c>
      <c r="S2" s="4" t="s">
        <v>23</v>
      </c>
      <c r="T2" s="4" t="s">
        <v>24</v>
      </c>
      <c r="U2" s="4" t="s">
        <v>25</v>
      </c>
      <c r="V2" s="4" t="s">
        <v>26</v>
      </c>
      <c r="W2" s="4" t="s">
        <v>27</v>
      </c>
      <c r="X2" s="5" t="s">
        <v>28</v>
      </c>
      <c r="Y2" s="6" t="s">
        <v>29</v>
      </c>
      <c r="Z2" s="7" t="s">
        <v>31</v>
      </c>
      <c r="AA2" s="7" t="s">
        <v>32</v>
      </c>
      <c r="AB2" s="7" t="s">
        <v>33</v>
      </c>
      <c r="AC2" s="7" t="s">
        <v>34</v>
      </c>
      <c r="AD2" s="7" t="s">
        <v>35</v>
      </c>
      <c r="AE2" s="7" t="s">
        <v>36</v>
      </c>
      <c r="AF2" s="7" t="s">
        <v>37</v>
      </c>
      <c r="AG2" s="7" t="s">
        <v>38</v>
      </c>
      <c r="AH2" s="7" t="s">
        <v>39</v>
      </c>
      <c r="AI2" s="7" t="s">
        <v>40</v>
      </c>
    </row>
    <row r="3" spans="1:35" x14ac:dyDescent="0.25">
      <c r="A3" s="33" t="s">
        <v>43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34"/>
    </row>
    <row r="4" spans="1:35" ht="26.25" x14ac:dyDescent="0.25">
      <c r="A4" s="12" t="s">
        <v>46</v>
      </c>
      <c r="B4" s="9" t="s">
        <v>44</v>
      </c>
      <c r="C4" s="9" t="s">
        <v>45</v>
      </c>
      <c r="D4" s="10">
        <v>1380</v>
      </c>
      <c r="E4" s="10">
        <v>30</v>
      </c>
      <c r="F4" s="10">
        <v>0</v>
      </c>
      <c r="G4" s="10">
        <v>20</v>
      </c>
      <c r="H4" s="8">
        <v>13.8</v>
      </c>
      <c r="I4" s="8">
        <v>47.1</v>
      </c>
      <c r="J4" s="8">
        <v>1440.8999999999999</v>
      </c>
      <c r="K4" s="8">
        <v>0</v>
      </c>
      <c r="L4" s="8">
        <v>7.2044999999999995</v>
      </c>
      <c r="M4" s="8">
        <v>217.21567499999998</v>
      </c>
      <c r="N4" s="8">
        <v>224.42017499999997</v>
      </c>
      <c r="O4" s="8">
        <v>69</v>
      </c>
      <c r="P4" s="8">
        <v>127.64999999999999</v>
      </c>
      <c r="Q4" s="8">
        <v>3.4465499999999998</v>
      </c>
      <c r="R4" s="8">
        <v>2.1700499999999998</v>
      </c>
      <c r="S4" s="8">
        <v>29.571428571428566</v>
      </c>
      <c r="T4" s="8">
        <v>162.83802857142854</v>
      </c>
      <c r="U4" s="8">
        <v>1836.2582035714286</v>
      </c>
      <c r="V4" s="8">
        <v>367.25164071428571</v>
      </c>
      <c r="W4" s="8">
        <v>217.21567499999998</v>
      </c>
      <c r="X4" s="11">
        <v>2740</v>
      </c>
      <c r="AB4" t="s">
        <v>30</v>
      </c>
    </row>
    <row r="5" spans="1:35" x14ac:dyDescent="0.25">
      <c r="A5" s="35" t="s">
        <v>60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</row>
    <row r="6" spans="1:35" x14ac:dyDescent="0.25">
      <c r="A6" s="13" t="s">
        <v>57</v>
      </c>
      <c r="B6" s="14" t="s">
        <v>49</v>
      </c>
      <c r="C6" s="14" t="s">
        <v>47</v>
      </c>
      <c r="D6" s="10"/>
      <c r="E6" s="10"/>
      <c r="F6" s="10">
        <v>15</v>
      </c>
      <c r="G6" s="10">
        <v>20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5"/>
      <c r="AB6" t="s">
        <v>30</v>
      </c>
    </row>
    <row r="7" spans="1:35" x14ac:dyDescent="0.25">
      <c r="A7" s="16" t="s">
        <v>58</v>
      </c>
      <c r="B7" s="17" t="s">
        <v>50</v>
      </c>
      <c r="C7" s="17" t="s">
        <v>47</v>
      </c>
      <c r="D7" s="18"/>
      <c r="E7" s="18"/>
      <c r="F7" s="18">
        <v>15</v>
      </c>
      <c r="G7" s="18">
        <v>20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15"/>
      <c r="AB7" t="s">
        <v>30</v>
      </c>
    </row>
    <row r="8" spans="1:35" x14ac:dyDescent="0.25">
      <c r="A8" s="13" t="s">
        <v>51</v>
      </c>
      <c r="B8" s="14" t="s">
        <v>52</v>
      </c>
      <c r="C8" s="14" t="s">
        <v>41</v>
      </c>
      <c r="D8" s="10"/>
      <c r="E8" s="10"/>
      <c r="F8" s="10">
        <v>15</v>
      </c>
      <c r="G8" s="10">
        <v>20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15"/>
      <c r="AB8" t="s">
        <v>30</v>
      </c>
    </row>
    <row r="9" spans="1:35" x14ac:dyDescent="0.25">
      <c r="A9" s="16" t="s">
        <v>53</v>
      </c>
      <c r="B9" s="17" t="s">
        <v>42</v>
      </c>
      <c r="C9" s="17"/>
      <c r="D9" s="18"/>
      <c r="E9" s="18"/>
      <c r="F9" s="18"/>
      <c r="G9" s="18">
        <v>20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15"/>
      <c r="AB9" t="s">
        <v>30</v>
      </c>
    </row>
    <row r="10" spans="1:35" x14ac:dyDescent="0.25">
      <c r="A10" s="13" t="s">
        <v>59</v>
      </c>
      <c r="B10" s="14" t="s">
        <v>54</v>
      </c>
      <c r="C10" s="14" t="s">
        <v>41</v>
      </c>
      <c r="D10" s="10"/>
      <c r="E10" s="10"/>
      <c r="F10" s="10">
        <v>15</v>
      </c>
      <c r="G10" s="10">
        <v>20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15"/>
      <c r="AB10" t="s">
        <v>30</v>
      </c>
    </row>
    <row r="11" spans="1:35" x14ac:dyDescent="0.25">
      <c r="A11" s="16" t="s">
        <v>55</v>
      </c>
      <c r="B11" s="17" t="s">
        <v>56</v>
      </c>
      <c r="C11" s="17" t="s">
        <v>48</v>
      </c>
      <c r="D11" s="18"/>
      <c r="E11" s="18"/>
      <c r="F11" s="18">
        <v>15</v>
      </c>
      <c r="G11" s="18">
        <v>20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15"/>
      <c r="AB11" t="s">
        <v>30</v>
      </c>
    </row>
    <row r="12" spans="1:35" ht="8.1" customHeight="1" x14ac:dyDescent="0.25"/>
    <row r="13" spans="1:35" ht="8.1" customHeight="1" thickBot="1" x14ac:dyDescent="0.3"/>
    <row r="14" spans="1:35" x14ac:dyDescent="0.25">
      <c r="A14" s="30" t="s">
        <v>67</v>
      </c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</row>
    <row r="15" spans="1:35" x14ac:dyDescent="0.25">
      <c r="A15" s="13" t="s">
        <v>61</v>
      </c>
      <c r="B15" s="14" t="s">
        <v>62</v>
      </c>
      <c r="C15" s="14" t="s">
        <v>48</v>
      </c>
      <c r="D15" s="10"/>
      <c r="E15" s="10"/>
      <c r="F15" s="10">
        <v>15</v>
      </c>
      <c r="G15" s="10">
        <v>20</v>
      </c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15"/>
      <c r="AB15" t="s">
        <v>30</v>
      </c>
      <c r="AC15" t="s">
        <v>68</v>
      </c>
      <c r="AD15">
        <v>100.76</v>
      </c>
      <c r="AE15" t="s">
        <v>71</v>
      </c>
      <c r="AF15">
        <v>205.9</v>
      </c>
      <c r="AG15" t="s">
        <v>71</v>
      </c>
    </row>
    <row r="16" spans="1:35" x14ac:dyDescent="0.25">
      <c r="A16" s="16" t="s">
        <v>63</v>
      </c>
      <c r="B16" s="17" t="s">
        <v>64</v>
      </c>
      <c r="C16" s="17" t="s">
        <v>48</v>
      </c>
      <c r="D16" s="18"/>
      <c r="E16" s="18"/>
      <c r="F16" s="18">
        <v>15</v>
      </c>
      <c r="G16" s="18">
        <v>20</v>
      </c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15"/>
      <c r="AB16" t="s">
        <v>30</v>
      </c>
      <c r="AC16" t="s">
        <v>69</v>
      </c>
      <c r="AD16">
        <v>111.28</v>
      </c>
      <c r="AE16" t="s">
        <v>72</v>
      </c>
      <c r="AG16" t="s">
        <v>72</v>
      </c>
    </row>
    <row r="17" spans="1:33" x14ac:dyDescent="0.25">
      <c r="A17" s="13" t="s">
        <v>65</v>
      </c>
      <c r="B17" s="14" t="s">
        <v>66</v>
      </c>
      <c r="C17" s="14" t="s">
        <v>48</v>
      </c>
      <c r="D17" s="10"/>
      <c r="E17" s="10"/>
      <c r="F17" s="10">
        <v>15</v>
      </c>
      <c r="G17" s="10">
        <v>20</v>
      </c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5"/>
      <c r="AB17" t="s">
        <v>30</v>
      </c>
      <c r="AC17" t="s">
        <v>70</v>
      </c>
      <c r="AD17">
        <v>174.28</v>
      </c>
      <c r="AE17" t="s">
        <v>73</v>
      </c>
      <c r="AG17" t="s">
        <v>73</v>
      </c>
    </row>
    <row r="18" spans="1:33" ht="8.1" customHeight="1" thickBot="1" x14ac:dyDescent="0.3"/>
    <row r="19" spans="1:33" x14ac:dyDescent="0.25">
      <c r="A19" s="30" t="s">
        <v>74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33" x14ac:dyDescent="0.25">
      <c r="A20" s="13" t="s">
        <v>61</v>
      </c>
      <c r="B20" s="14" t="s">
        <v>62</v>
      </c>
      <c r="C20" s="14" t="s">
        <v>48</v>
      </c>
      <c r="D20" s="10">
        <v>130</v>
      </c>
      <c r="E20" s="10">
        <v>0.186</v>
      </c>
      <c r="F20" s="10">
        <v>15</v>
      </c>
      <c r="G20" s="10">
        <v>20</v>
      </c>
      <c r="H20" s="8">
        <v>1.3</v>
      </c>
      <c r="I20" s="8">
        <v>0.74399999999999999</v>
      </c>
      <c r="J20" s="8">
        <v>132.04400000000001</v>
      </c>
      <c r="K20" s="8">
        <v>19.8066</v>
      </c>
      <c r="L20" s="8">
        <v>0.66022000000000003</v>
      </c>
      <c r="M20" s="8">
        <v>22.876623000000002</v>
      </c>
      <c r="N20" s="8">
        <v>42.683222999999998</v>
      </c>
      <c r="O20" s="8">
        <v>6.5</v>
      </c>
      <c r="P20" s="8">
        <v>0.79142999999999997</v>
      </c>
      <c r="Q20" s="8">
        <v>2.136861E-2</v>
      </c>
      <c r="R20" s="8">
        <v>1.3454310000000001E-2</v>
      </c>
      <c r="S20" s="8">
        <v>0.18334285714285711</v>
      </c>
      <c r="T20" s="8">
        <v>1.009595777142857</v>
      </c>
      <c r="U20" s="8">
        <v>180.19281877714286</v>
      </c>
      <c r="V20" s="8">
        <v>36.038563755428576</v>
      </c>
      <c r="W20" s="8">
        <v>22.876623000000002</v>
      </c>
      <c r="X20" s="15">
        <v>193.35475953257145</v>
      </c>
      <c r="AA20">
        <v>130.16999999999999</v>
      </c>
      <c r="AB20" t="s">
        <v>30</v>
      </c>
      <c r="AC20" t="s">
        <v>75</v>
      </c>
      <c r="AD20">
        <v>100.76</v>
      </c>
      <c r="AE20" t="s">
        <v>71</v>
      </c>
      <c r="AF20">
        <v>205.9</v>
      </c>
      <c r="AG20" t="s">
        <v>71</v>
      </c>
    </row>
    <row r="21" spans="1:33" x14ac:dyDescent="0.25">
      <c r="A21" s="16" t="s">
        <v>63</v>
      </c>
      <c r="B21" s="17" t="s">
        <v>64</v>
      </c>
      <c r="C21" s="17" t="s">
        <v>48</v>
      </c>
      <c r="D21" s="18">
        <v>140</v>
      </c>
      <c r="E21" s="18">
        <v>0.52700000000000002</v>
      </c>
      <c r="F21" s="18">
        <v>15</v>
      </c>
      <c r="G21" s="18">
        <v>20</v>
      </c>
      <c r="H21" s="8">
        <v>1.4000000000000001</v>
      </c>
      <c r="I21" s="8">
        <v>2.1080000000000001</v>
      </c>
      <c r="J21" s="8">
        <v>143.50800000000001</v>
      </c>
      <c r="K21" s="8">
        <v>21.526199999999999</v>
      </c>
      <c r="L21" s="8">
        <v>0.71754000000000007</v>
      </c>
      <c r="M21" s="8">
        <v>24.862761000000003</v>
      </c>
      <c r="N21" s="8">
        <v>47.106501000000002</v>
      </c>
      <c r="O21" s="8">
        <v>7</v>
      </c>
      <c r="P21" s="8">
        <v>2.2423850000000001</v>
      </c>
      <c r="Q21" s="8">
        <v>6.0544395000000001E-2</v>
      </c>
      <c r="R21" s="8">
        <v>3.8120545000000006E-2</v>
      </c>
      <c r="S21" s="8">
        <v>0.51947142857142858</v>
      </c>
      <c r="T21" s="8">
        <v>2.8605213685714288</v>
      </c>
      <c r="U21" s="8">
        <v>196.96702236857143</v>
      </c>
      <c r="V21" s="8">
        <v>39.393404473714291</v>
      </c>
      <c r="W21" s="8">
        <v>24.862761000000003</v>
      </c>
      <c r="X21" s="15">
        <v>211.49766584228573</v>
      </c>
      <c r="AA21">
        <v>151.38999999999999</v>
      </c>
      <c r="AB21" t="s">
        <v>30</v>
      </c>
      <c r="AC21" t="s">
        <v>76</v>
      </c>
      <c r="AD21">
        <v>111.28</v>
      </c>
      <c r="AE21" t="s">
        <v>72</v>
      </c>
      <c r="AG21" t="s">
        <v>72</v>
      </c>
    </row>
    <row r="22" spans="1:33" x14ac:dyDescent="0.25">
      <c r="A22" s="13" t="s">
        <v>65</v>
      </c>
      <c r="B22" s="14" t="s">
        <v>66</v>
      </c>
      <c r="C22" s="14" t="s">
        <v>48</v>
      </c>
      <c r="D22" s="10">
        <v>150</v>
      </c>
      <c r="E22" s="10">
        <v>0.186</v>
      </c>
      <c r="F22" s="10">
        <v>15</v>
      </c>
      <c r="G22" s="10">
        <v>20</v>
      </c>
      <c r="H22" s="8">
        <v>1.5</v>
      </c>
      <c r="I22" s="8">
        <v>0.74399999999999999</v>
      </c>
      <c r="J22" s="8">
        <v>152.244</v>
      </c>
      <c r="K22" s="8">
        <v>22.836600000000001</v>
      </c>
      <c r="L22" s="8">
        <v>0.76122000000000001</v>
      </c>
      <c r="M22" s="8">
        <v>26.376273000000001</v>
      </c>
      <c r="N22" s="8">
        <v>49.974093000000003</v>
      </c>
      <c r="O22" s="8">
        <v>7.5</v>
      </c>
      <c r="P22" s="8">
        <v>0.79142999999999997</v>
      </c>
      <c r="Q22" s="8">
        <v>2.136861E-2</v>
      </c>
      <c r="R22" s="8">
        <v>1.3454310000000001E-2</v>
      </c>
      <c r="S22" s="8">
        <v>0.18334285714285711</v>
      </c>
      <c r="T22" s="8">
        <v>1.009595777142857</v>
      </c>
      <c r="U22" s="8">
        <v>208.48368877714287</v>
      </c>
      <c r="V22" s="8">
        <v>41.696737755428579</v>
      </c>
      <c r="W22" s="8">
        <v>26.376273000000001</v>
      </c>
      <c r="X22" s="15">
        <v>223.80415353257146</v>
      </c>
      <c r="AA22">
        <v>148.1</v>
      </c>
      <c r="AB22" t="s">
        <v>30</v>
      </c>
      <c r="AC22" t="s">
        <v>77</v>
      </c>
      <c r="AD22">
        <v>174.28</v>
      </c>
      <c r="AE22" t="s">
        <v>73</v>
      </c>
      <c r="AG22" t="s">
        <v>73</v>
      </c>
    </row>
    <row r="23" spans="1:33" ht="8.1" customHeight="1" thickBot="1" x14ac:dyDescent="0.3"/>
    <row r="24" spans="1:33" x14ac:dyDescent="0.25">
      <c r="A24" s="30" t="s">
        <v>113</v>
      </c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</row>
    <row r="25" spans="1:33" x14ac:dyDescent="0.25">
      <c r="A25" s="13" t="s">
        <v>78</v>
      </c>
      <c r="B25" s="14" t="s">
        <v>79</v>
      </c>
      <c r="C25" s="14" t="s">
        <v>80</v>
      </c>
      <c r="D25" s="10">
        <v>98</v>
      </c>
      <c r="E25" s="10">
        <v>0.5</v>
      </c>
      <c r="F25" s="10">
        <v>8</v>
      </c>
      <c r="G25" s="10">
        <v>20</v>
      </c>
      <c r="H25" s="8">
        <v>0.98</v>
      </c>
      <c r="I25" s="8">
        <v>2</v>
      </c>
      <c r="J25" s="8">
        <v>100.98</v>
      </c>
      <c r="K25" s="8">
        <v>8.0784000000000002</v>
      </c>
      <c r="L25" s="8">
        <v>0.50490000000000002</v>
      </c>
      <c r="M25" s="8">
        <v>16.434495000000002</v>
      </c>
      <c r="N25" s="8">
        <v>25.017795</v>
      </c>
      <c r="O25" s="8">
        <v>4.9000000000000004</v>
      </c>
      <c r="P25" s="8">
        <v>2.1274999999999999</v>
      </c>
      <c r="Q25" s="8">
        <v>5.7442500000000001E-2</v>
      </c>
      <c r="R25" s="8">
        <v>3.6167499999999998E-2</v>
      </c>
      <c r="S25" s="8">
        <v>0.49285714285714277</v>
      </c>
      <c r="T25" s="8">
        <v>2.7139671428571428</v>
      </c>
      <c r="U25" s="8">
        <v>130.63176214285716</v>
      </c>
      <c r="V25" s="8">
        <v>26.126352428571433</v>
      </c>
      <c r="W25" s="8">
        <v>16.434495000000002</v>
      </c>
      <c r="X25" s="15">
        <v>140.32361957142859</v>
      </c>
      <c r="Z25">
        <v>138.49</v>
      </c>
      <c r="AA25">
        <v>89.88</v>
      </c>
      <c r="AB25" t="s">
        <v>30</v>
      </c>
      <c r="AC25" t="s">
        <v>114</v>
      </c>
      <c r="AD25">
        <v>98.06</v>
      </c>
      <c r="AE25" t="s">
        <v>103</v>
      </c>
      <c r="AG25" t="s">
        <v>103</v>
      </c>
    </row>
    <row r="26" spans="1:33" x14ac:dyDescent="0.25">
      <c r="A26" s="16" t="s">
        <v>81</v>
      </c>
      <c r="B26" s="17" t="s">
        <v>82</v>
      </c>
      <c r="C26" s="17" t="s">
        <v>41</v>
      </c>
      <c r="D26" s="18">
        <v>53</v>
      </c>
      <c r="E26" s="18">
        <v>0.5</v>
      </c>
      <c r="F26" s="18">
        <v>15</v>
      </c>
      <c r="G26" s="18">
        <v>20</v>
      </c>
      <c r="H26" s="8">
        <v>0.53</v>
      </c>
      <c r="I26" s="8">
        <v>2</v>
      </c>
      <c r="J26" s="8">
        <v>55.53</v>
      </c>
      <c r="K26" s="8">
        <v>8.3294999999999995</v>
      </c>
      <c r="L26" s="8">
        <v>0.27765000000000001</v>
      </c>
      <c r="M26" s="8">
        <v>9.620572499999998</v>
      </c>
      <c r="N26" s="8">
        <v>18.227722499999999</v>
      </c>
      <c r="O26" s="8">
        <v>2.6500000000000004</v>
      </c>
      <c r="P26" s="8">
        <v>2.1274999999999999</v>
      </c>
      <c r="Q26" s="8">
        <v>5.7442500000000001E-2</v>
      </c>
      <c r="R26" s="8">
        <v>3.6167499999999998E-2</v>
      </c>
      <c r="S26" s="8">
        <v>0.49285714285714277</v>
      </c>
      <c r="T26" s="8">
        <v>2.7139671428571428</v>
      </c>
      <c r="U26" s="8">
        <v>76.591689642857148</v>
      </c>
      <c r="V26" s="8">
        <v>15.318337928571431</v>
      </c>
      <c r="W26" s="8">
        <v>9.620572499999998</v>
      </c>
      <c r="X26" s="15">
        <v>82.289455071428577</v>
      </c>
      <c r="Z26">
        <v>188.33</v>
      </c>
      <c r="AA26">
        <v>122.22</v>
      </c>
      <c r="AB26" t="s">
        <v>30</v>
      </c>
      <c r="AC26" t="s">
        <v>115</v>
      </c>
      <c r="AE26" t="s">
        <v>104</v>
      </c>
      <c r="AF26">
        <v>53.03</v>
      </c>
      <c r="AG26" t="s">
        <v>104</v>
      </c>
    </row>
    <row r="27" spans="1:33" x14ac:dyDescent="0.25">
      <c r="A27" s="13" t="s">
        <v>83</v>
      </c>
      <c r="B27" s="14" t="s">
        <v>84</v>
      </c>
      <c r="C27" s="14" t="s">
        <v>85</v>
      </c>
      <c r="D27" s="10"/>
      <c r="E27" s="10">
        <v>1</v>
      </c>
      <c r="F27" s="10">
        <v>20</v>
      </c>
      <c r="G27" s="10">
        <v>20</v>
      </c>
      <c r="H27" s="8"/>
      <c r="I27" s="8">
        <v>4</v>
      </c>
      <c r="J27" s="8"/>
      <c r="K27" s="8"/>
      <c r="L27" s="8"/>
      <c r="M27" s="8"/>
      <c r="N27" s="8"/>
      <c r="O27" s="8"/>
      <c r="P27" s="8">
        <v>4.2549999999999999</v>
      </c>
      <c r="Q27" s="8">
        <v>0.114885</v>
      </c>
      <c r="R27" s="8">
        <v>7.2334999999999997E-2</v>
      </c>
      <c r="S27" s="8">
        <v>0.98571428571428554</v>
      </c>
      <c r="T27" s="8">
        <v>5.4279342857142856</v>
      </c>
      <c r="U27" s="8"/>
      <c r="V27" s="8"/>
      <c r="W27" s="8"/>
      <c r="X27" s="15"/>
      <c r="AB27" t="s">
        <v>30</v>
      </c>
      <c r="AC27" t="s">
        <v>116</v>
      </c>
      <c r="AE27" t="s">
        <v>105</v>
      </c>
      <c r="AG27" t="s">
        <v>105</v>
      </c>
    </row>
    <row r="28" spans="1:33" x14ac:dyDescent="0.25">
      <c r="A28" s="16" t="s">
        <v>86</v>
      </c>
      <c r="B28" s="17" t="s">
        <v>87</v>
      </c>
      <c r="C28" s="17" t="s">
        <v>41</v>
      </c>
      <c r="D28" s="18">
        <v>142</v>
      </c>
      <c r="E28" s="18">
        <v>10</v>
      </c>
      <c r="F28" s="18">
        <v>15</v>
      </c>
      <c r="G28" s="18">
        <v>20</v>
      </c>
      <c r="H28" s="8">
        <v>1.42</v>
      </c>
      <c r="I28" s="8">
        <v>40</v>
      </c>
      <c r="J28" s="8">
        <v>183.42</v>
      </c>
      <c r="K28" s="8">
        <v>27.512999999999998</v>
      </c>
      <c r="L28" s="8">
        <v>0.91709999999999992</v>
      </c>
      <c r="M28" s="8">
        <v>31.777514999999998</v>
      </c>
      <c r="N28" s="8">
        <v>60.207614999999997</v>
      </c>
      <c r="O28" s="8">
        <v>7.1000000000000005</v>
      </c>
      <c r="P28" s="8">
        <v>42.55</v>
      </c>
      <c r="Q28" s="8">
        <v>1.1488499999999999</v>
      </c>
      <c r="R28" s="8">
        <v>0.72335000000000005</v>
      </c>
      <c r="S28" s="8">
        <v>9.8571428571428559</v>
      </c>
      <c r="T28" s="8">
        <v>54.279342857142858</v>
      </c>
      <c r="U28" s="8">
        <v>263.58695785714286</v>
      </c>
      <c r="V28" s="8">
        <v>52.717391571428578</v>
      </c>
      <c r="W28" s="8">
        <v>31.777514999999998</v>
      </c>
      <c r="X28" s="15">
        <v>284.52683442857142</v>
      </c>
      <c r="Z28">
        <v>653.85</v>
      </c>
      <c r="AA28">
        <v>424.35</v>
      </c>
      <c r="AB28" t="s">
        <v>30</v>
      </c>
      <c r="AC28" t="s">
        <v>117</v>
      </c>
      <c r="AD28">
        <v>531.25</v>
      </c>
      <c r="AE28" t="s">
        <v>106</v>
      </c>
      <c r="AF28">
        <v>142.94999999999999</v>
      </c>
      <c r="AG28" t="s">
        <v>106</v>
      </c>
    </row>
    <row r="29" spans="1:33" x14ac:dyDescent="0.25">
      <c r="A29" s="13" t="s">
        <v>88</v>
      </c>
      <c r="B29" s="14" t="s">
        <v>89</v>
      </c>
      <c r="C29" s="14" t="s">
        <v>90</v>
      </c>
      <c r="D29" s="10">
        <v>95</v>
      </c>
      <c r="E29" s="10">
        <v>3</v>
      </c>
      <c r="F29" s="10">
        <v>15</v>
      </c>
      <c r="G29" s="10">
        <v>20</v>
      </c>
      <c r="H29" s="8">
        <v>0.95000000000000007</v>
      </c>
      <c r="I29" s="8">
        <v>12</v>
      </c>
      <c r="J29" s="8">
        <v>107.95</v>
      </c>
      <c r="K29" s="8">
        <v>16.192499999999999</v>
      </c>
      <c r="L29" s="8">
        <v>0.53975000000000006</v>
      </c>
      <c r="M29" s="8">
        <v>18.702337499999999</v>
      </c>
      <c r="N29" s="8">
        <v>35.434587499999999</v>
      </c>
      <c r="O29" s="8">
        <v>4.75</v>
      </c>
      <c r="P29" s="8">
        <v>12.765000000000001</v>
      </c>
      <c r="Q29" s="8">
        <v>0.34465499999999999</v>
      </c>
      <c r="R29" s="8">
        <v>0.21700500000000003</v>
      </c>
      <c r="S29" s="8">
        <v>2.9571428571428564</v>
      </c>
      <c r="T29" s="8">
        <v>16.283802857142856</v>
      </c>
      <c r="U29" s="8">
        <v>151.46839035714285</v>
      </c>
      <c r="V29" s="8">
        <v>30.293678071428573</v>
      </c>
      <c r="W29" s="8">
        <v>18.702337499999999</v>
      </c>
      <c r="X29" s="15">
        <v>163.05973092857141</v>
      </c>
      <c r="Z29">
        <v>119.09</v>
      </c>
      <c r="AA29">
        <v>77.290000000000006</v>
      </c>
      <c r="AB29" t="s">
        <v>30</v>
      </c>
      <c r="AC29" t="s">
        <v>118</v>
      </c>
      <c r="AD29">
        <v>94.84</v>
      </c>
      <c r="AE29" t="s">
        <v>107</v>
      </c>
      <c r="AF29">
        <v>95.95</v>
      </c>
      <c r="AG29" t="s">
        <v>107</v>
      </c>
    </row>
    <row r="30" spans="1:33" x14ac:dyDescent="0.25">
      <c r="A30" s="16" t="s">
        <v>91</v>
      </c>
      <c r="B30" s="17" t="s">
        <v>92</v>
      </c>
      <c r="C30" s="17" t="s">
        <v>93</v>
      </c>
      <c r="D30" s="18">
        <v>15</v>
      </c>
      <c r="E30" s="18">
        <v>1</v>
      </c>
      <c r="F30" s="18">
        <v>15</v>
      </c>
      <c r="G30" s="18">
        <v>20</v>
      </c>
      <c r="H30" s="8">
        <v>0.15</v>
      </c>
      <c r="I30" s="8">
        <v>4</v>
      </c>
      <c r="J30" s="8">
        <v>19.149999999999999</v>
      </c>
      <c r="K30" s="8">
        <v>2.8724999999999996</v>
      </c>
      <c r="L30" s="8">
        <v>9.5750000000000002E-2</v>
      </c>
      <c r="M30" s="8">
        <v>3.3177374999999993</v>
      </c>
      <c r="N30" s="8">
        <v>6.2859874999999992</v>
      </c>
      <c r="O30" s="8">
        <v>0.75</v>
      </c>
      <c r="P30" s="8">
        <v>4.2549999999999999</v>
      </c>
      <c r="Q30" s="8">
        <v>0.114885</v>
      </c>
      <c r="R30" s="8">
        <v>7.2334999999999997E-2</v>
      </c>
      <c r="S30" s="8">
        <v>0.98571428571428554</v>
      </c>
      <c r="T30" s="8">
        <v>5.4279342857142856</v>
      </c>
      <c r="U30" s="8">
        <v>27.463921785714284</v>
      </c>
      <c r="V30" s="8">
        <v>5.492784357142857</v>
      </c>
      <c r="W30" s="8">
        <v>3.3177374999999993</v>
      </c>
      <c r="X30" s="15">
        <v>29.638968642857144</v>
      </c>
      <c r="Z30">
        <v>300.77999999999997</v>
      </c>
      <c r="AA30">
        <v>195.21</v>
      </c>
      <c r="AB30" t="s">
        <v>30</v>
      </c>
      <c r="AC30" t="s">
        <v>119</v>
      </c>
      <c r="AD30">
        <v>204.16</v>
      </c>
      <c r="AE30" t="s">
        <v>108</v>
      </c>
      <c r="AF30">
        <v>15.49</v>
      </c>
      <c r="AG30" t="s">
        <v>108</v>
      </c>
    </row>
    <row r="31" spans="1:33" x14ac:dyDescent="0.25">
      <c r="A31" s="13" t="s">
        <v>94</v>
      </c>
      <c r="B31" s="14" t="s">
        <v>95</v>
      </c>
      <c r="C31" s="14" t="s">
        <v>41</v>
      </c>
      <c r="D31" s="10"/>
      <c r="E31" s="10">
        <v>60</v>
      </c>
      <c r="F31" s="10">
        <v>15</v>
      </c>
      <c r="G31" s="10">
        <v>20</v>
      </c>
      <c r="H31" s="8"/>
      <c r="I31" s="8">
        <v>240</v>
      </c>
      <c r="J31" s="8"/>
      <c r="K31" s="8"/>
      <c r="L31" s="8"/>
      <c r="M31" s="8"/>
      <c r="N31" s="8"/>
      <c r="O31" s="8"/>
      <c r="P31" s="8">
        <v>255.29999999999998</v>
      </c>
      <c r="Q31" s="8">
        <v>6.8930999999999996</v>
      </c>
      <c r="R31" s="8">
        <v>4.3400999999999996</v>
      </c>
      <c r="S31" s="8">
        <v>59.142857142857132</v>
      </c>
      <c r="T31" s="8">
        <v>325.67605714285708</v>
      </c>
      <c r="U31" s="8"/>
      <c r="V31" s="8"/>
      <c r="W31" s="8"/>
      <c r="X31" s="15"/>
      <c r="Z31">
        <v>2578.4499999999998</v>
      </c>
      <c r="AA31">
        <v>1673.42</v>
      </c>
      <c r="AB31" t="s">
        <v>30</v>
      </c>
      <c r="AC31" t="s">
        <v>120</v>
      </c>
      <c r="AE31" t="s">
        <v>109</v>
      </c>
      <c r="AG31" t="s">
        <v>109</v>
      </c>
    </row>
    <row r="32" spans="1:33" x14ac:dyDescent="0.25">
      <c r="A32" s="16" t="s">
        <v>96</v>
      </c>
      <c r="B32" s="17" t="s">
        <v>97</v>
      </c>
      <c r="C32" s="17" t="s">
        <v>45</v>
      </c>
      <c r="D32" s="18"/>
      <c r="E32" s="18">
        <v>60</v>
      </c>
      <c r="F32" s="18">
        <v>0</v>
      </c>
      <c r="G32" s="18">
        <v>20</v>
      </c>
      <c r="H32" s="8"/>
      <c r="I32" s="8">
        <v>240</v>
      </c>
      <c r="J32" s="8"/>
      <c r="K32" s="8"/>
      <c r="L32" s="8"/>
      <c r="M32" s="8"/>
      <c r="N32" s="8"/>
      <c r="O32" s="8"/>
      <c r="P32" s="8">
        <v>255.29999999999998</v>
      </c>
      <c r="Q32" s="8">
        <v>6.8930999999999996</v>
      </c>
      <c r="R32" s="8">
        <v>4.3400999999999996</v>
      </c>
      <c r="S32" s="8">
        <v>59.142857142857132</v>
      </c>
      <c r="T32" s="8">
        <v>325.67605714285708</v>
      </c>
      <c r="U32" s="8"/>
      <c r="V32" s="8"/>
      <c r="W32" s="8"/>
      <c r="X32" s="15"/>
      <c r="Z32">
        <v>1504.67</v>
      </c>
      <c r="AA32">
        <v>976.53</v>
      </c>
      <c r="AB32" t="s">
        <v>30</v>
      </c>
      <c r="AC32" t="s">
        <v>121</v>
      </c>
      <c r="AE32" t="s">
        <v>110</v>
      </c>
      <c r="AG32" t="s">
        <v>110</v>
      </c>
    </row>
    <row r="33" spans="1:35" x14ac:dyDescent="0.25">
      <c r="A33" s="13" t="s">
        <v>98</v>
      </c>
      <c r="B33" s="14" t="s">
        <v>99</v>
      </c>
      <c r="C33" s="14" t="s">
        <v>100</v>
      </c>
      <c r="D33" s="10">
        <v>45</v>
      </c>
      <c r="E33" s="10">
        <v>0.5</v>
      </c>
      <c r="F33" s="10">
        <v>10</v>
      </c>
      <c r="G33" s="10">
        <v>20</v>
      </c>
      <c r="H33" s="8">
        <v>0.45</v>
      </c>
      <c r="I33" s="8">
        <v>2</v>
      </c>
      <c r="J33" s="8">
        <v>47.45</v>
      </c>
      <c r="K33" s="8">
        <v>4.7450000000000001</v>
      </c>
      <c r="L33" s="8">
        <v>0.23725000000000002</v>
      </c>
      <c r="M33" s="8">
        <v>7.8648375000000001</v>
      </c>
      <c r="N33" s="8">
        <v>12.847087500000001</v>
      </c>
      <c r="O33" s="8">
        <v>2.25</v>
      </c>
      <c r="P33" s="8">
        <v>2.1274999999999999</v>
      </c>
      <c r="Q33" s="8">
        <v>5.7442500000000001E-2</v>
      </c>
      <c r="R33" s="8">
        <v>3.6167499999999998E-2</v>
      </c>
      <c r="S33" s="8">
        <v>0.49285714285714277</v>
      </c>
      <c r="T33" s="8">
        <v>2.7139671428571428</v>
      </c>
      <c r="U33" s="8">
        <v>62.811054642857144</v>
      </c>
      <c r="V33" s="8">
        <v>12.56221092857143</v>
      </c>
      <c r="W33" s="8">
        <v>7.8648375000000001</v>
      </c>
      <c r="X33" s="15">
        <v>67.508428071428568</v>
      </c>
      <c r="Z33">
        <v>79.87</v>
      </c>
      <c r="AA33">
        <v>50.55</v>
      </c>
      <c r="AB33" t="s">
        <v>30</v>
      </c>
      <c r="AC33" t="s">
        <v>122</v>
      </c>
      <c r="AD33">
        <v>45</v>
      </c>
      <c r="AE33" t="s">
        <v>111</v>
      </c>
      <c r="AG33" t="s">
        <v>111</v>
      </c>
    </row>
    <row r="34" spans="1:35" x14ac:dyDescent="0.25">
      <c r="A34" s="16" t="s">
        <v>101</v>
      </c>
      <c r="B34" s="17" t="s">
        <v>102</v>
      </c>
      <c r="C34" s="19"/>
      <c r="D34" s="18"/>
      <c r="E34" s="18">
        <v>0.5</v>
      </c>
      <c r="F34" s="18">
        <v>15</v>
      </c>
      <c r="G34" s="18">
        <v>20</v>
      </c>
      <c r="H34" s="8"/>
      <c r="I34" s="8">
        <v>2</v>
      </c>
      <c r="J34" s="8"/>
      <c r="K34" s="8"/>
      <c r="L34" s="8"/>
      <c r="M34" s="8"/>
      <c r="N34" s="8"/>
      <c r="O34" s="8"/>
      <c r="P34" s="8">
        <v>2.1274999999999999</v>
      </c>
      <c r="Q34" s="8">
        <v>5.7442500000000001E-2</v>
      </c>
      <c r="R34" s="8">
        <v>3.6167499999999998E-2</v>
      </c>
      <c r="S34" s="8">
        <v>0.49285714285714277</v>
      </c>
      <c r="T34" s="8">
        <v>2.7139671428571428</v>
      </c>
      <c r="U34" s="8"/>
      <c r="V34" s="8"/>
      <c r="W34" s="8"/>
      <c r="X34" s="15"/>
      <c r="AB34" t="s">
        <v>30</v>
      </c>
      <c r="AE34" t="s">
        <v>112</v>
      </c>
      <c r="AG34" t="s">
        <v>112</v>
      </c>
    </row>
    <row r="35" spans="1:35" ht="8.1" customHeight="1" thickBot="1" x14ac:dyDescent="0.3"/>
    <row r="36" spans="1:35" x14ac:dyDescent="0.25">
      <c r="A36" s="30" t="s">
        <v>123</v>
      </c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</row>
    <row r="37" spans="1:35" x14ac:dyDescent="0.25">
      <c r="A37" s="20" t="s">
        <v>135</v>
      </c>
      <c r="B37" s="14" t="s">
        <v>124</v>
      </c>
      <c r="C37" s="14" t="s">
        <v>125</v>
      </c>
      <c r="D37" s="10">
        <v>880</v>
      </c>
      <c r="E37" s="10">
        <v>8</v>
      </c>
      <c r="F37" s="10">
        <v>0</v>
      </c>
      <c r="G37" s="10">
        <v>20</v>
      </c>
      <c r="H37" s="8">
        <v>8.8000000000000007</v>
      </c>
      <c r="I37" s="8">
        <v>32</v>
      </c>
      <c r="J37" s="8">
        <v>920.8</v>
      </c>
      <c r="K37" s="8">
        <v>0</v>
      </c>
      <c r="L37" s="8">
        <v>4.6040000000000001</v>
      </c>
      <c r="M37" s="8">
        <v>138.81059999999999</v>
      </c>
      <c r="N37" s="8">
        <v>143.41460000000001</v>
      </c>
      <c r="O37" s="8">
        <v>44</v>
      </c>
      <c r="P37" s="8">
        <v>34.04</v>
      </c>
      <c r="Q37" s="8">
        <v>0.91908000000000001</v>
      </c>
      <c r="R37" s="8">
        <v>0.57867999999999997</v>
      </c>
      <c r="S37" s="8">
        <v>7.8857142857142843</v>
      </c>
      <c r="T37" s="8">
        <v>43.423474285714285</v>
      </c>
      <c r="U37" s="8">
        <v>1110.8380742857144</v>
      </c>
      <c r="V37" s="8">
        <v>222.16761485714289</v>
      </c>
      <c r="W37" s="8">
        <v>138.81059999999999</v>
      </c>
      <c r="X37" s="15">
        <v>1194.1950891428571</v>
      </c>
      <c r="AB37" t="s">
        <v>30</v>
      </c>
      <c r="AC37" t="s">
        <v>132</v>
      </c>
      <c r="AD37">
        <v>1004</v>
      </c>
      <c r="AE37" t="s">
        <v>129</v>
      </c>
      <c r="AG37" t="s">
        <v>129</v>
      </c>
    </row>
    <row r="38" spans="1:35" x14ac:dyDescent="0.25">
      <c r="A38" s="16" t="s">
        <v>126</v>
      </c>
      <c r="B38" s="17" t="s">
        <v>52</v>
      </c>
      <c r="C38" s="17" t="s">
        <v>41</v>
      </c>
      <c r="D38" s="18">
        <v>655</v>
      </c>
      <c r="E38" s="18">
        <v>5.8310000000000004</v>
      </c>
      <c r="F38" s="18">
        <v>15</v>
      </c>
      <c r="G38" s="18">
        <v>20</v>
      </c>
      <c r="H38" s="8">
        <v>6.55</v>
      </c>
      <c r="I38" s="8">
        <v>23.324000000000002</v>
      </c>
      <c r="J38" s="8">
        <v>684.87399999999991</v>
      </c>
      <c r="K38" s="8">
        <v>102.73109999999998</v>
      </c>
      <c r="L38" s="8">
        <v>3.4243699999999997</v>
      </c>
      <c r="M38" s="8">
        <v>118.65442049999997</v>
      </c>
      <c r="N38" s="8">
        <v>224.80989049999994</v>
      </c>
      <c r="O38" s="8">
        <v>32.75</v>
      </c>
      <c r="P38" s="8">
        <v>24.810905000000002</v>
      </c>
      <c r="Q38" s="8">
        <v>0.66989443500000001</v>
      </c>
      <c r="R38" s="8">
        <v>0.42178538500000007</v>
      </c>
      <c r="S38" s="8">
        <v>5.7477</v>
      </c>
      <c r="T38" s="8">
        <v>31.650284820000003</v>
      </c>
      <c r="U38" s="8">
        <v>944.21017531999996</v>
      </c>
      <c r="V38" s="8">
        <v>188.84203506400002</v>
      </c>
      <c r="W38" s="8">
        <v>118.65442049999997</v>
      </c>
      <c r="X38" s="15">
        <v>1014.3977898839998</v>
      </c>
      <c r="AA38">
        <v>2140.8000000000002</v>
      </c>
      <c r="AB38" t="s">
        <v>30</v>
      </c>
      <c r="AC38" t="s">
        <v>133</v>
      </c>
      <c r="AE38" t="s">
        <v>130</v>
      </c>
      <c r="AF38">
        <v>655</v>
      </c>
      <c r="AG38" t="s">
        <v>130</v>
      </c>
    </row>
    <row r="39" spans="1:35" x14ac:dyDescent="0.25">
      <c r="A39" s="13" t="s">
        <v>127</v>
      </c>
      <c r="B39" s="14" t="s">
        <v>128</v>
      </c>
      <c r="C39" s="14" t="s">
        <v>48</v>
      </c>
      <c r="D39" s="10">
        <v>112</v>
      </c>
      <c r="E39" s="10">
        <v>0.25600000000000001</v>
      </c>
      <c r="F39" s="10">
        <v>15</v>
      </c>
      <c r="G39" s="10">
        <v>20</v>
      </c>
      <c r="H39" s="8">
        <v>1.1200000000000001</v>
      </c>
      <c r="I39" s="8">
        <v>1.024</v>
      </c>
      <c r="J39" s="8">
        <v>114.14400000000001</v>
      </c>
      <c r="K39" s="8">
        <v>17.121600000000001</v>
      </c>
      <c r="L39" s="8">
        <v>0.57072000000000001</v>
      </c>
      <c r="M39" s="8">
        <v>19.775448000000001</v>
      </c>
      <c r="N39" s="8">
        <v>37.467768000000007</v>
      </c>
      <c r="O39" s="8">
        <v>5.6000000000000005</v>
      </c>
      <c r="P39" s="8">
        <v>1.08928</v>
      </c>
      <c r="Q39" s="8">
        <v>2.9410559999999999E-2</v>
      </c>
      <c r="R39" s="8">
        <v>1.8517760000000001E-2</v>
      </c>
      <c r="S39" s="8">
        <v>0.25234285714285709</v>
      </c>
      <c r="T39" s="8">
        <v>1.3895511771428573</v>
      </c>
      <c r="U39" s="8">
        <v>156.45731917714286</v>
      </c>
      <c r="V39" s="8">
        <v>31.291463835428573</v>
      </c>
      <c r="W39" s="8">
        <v>19.775448000000001</v>
      </c>
      <c r="X39" s="15">
        <v>167.97333501257143</v>
      </c>
      <c r="AA39">
        <v>107.3</v>
      </c>
      <c r="AB39" t="s">
        <v>30</v>
      </c>
      <c r="AC39" t="s">
        <v>134</v>
      </c>
      <c r="AD39">
        <v>150.86000000000001</v>
      </c>
      <c r="AE39" t="s">
        <v>131</v>
      </c>
      <c r="AF39">
        <v>21.59</v>
      </c>
      <c r="AG39" t="s">
        <v>131</v>
      </c>
    </row>
    <row r="40" spans="1:35" ht="8.1" customHeight="1" thickBot="1" x14ac:dyDescent="0.3"/>
    <row r="41" spans="1:35" x14ac:dyDescent="0.25">
      <c r="A41" s="30" t="s">
        <v>136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</row>
    <row r="42" spans="1:35" x14ac:dyDescent="0.25">
      <c r="A42" s="13" t="s">
        <v>137</v>
      </c>
      <c r="B42" s="14" t="s">
        <v>138</v>
      </c>
      <c r="C42" s="14" t="s">
        <v>45</v>
      </c>
      <c r="D42" s="10"/>
      <c r="E42" s="10"/>
      <c r="F42" s="10">
        <v>0</v>
      </c>
      <c r="G42" s="10">
        <v>20</v>
      </c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15"/>
      <c r="AB42" t="s">
        <v>30</v>
      </c>
      <c r="AE42" t="s">
        <v>175</v>
      </c>
      <c r="AF42">
        <v>29.99</v>
      </c>
      <c r="AG42" t="s">
        <v>175</v>
      </c>
      <c r="AH42">
        <v>81.849999999999994</v>
      </c>
    </row>
    <row r="43" spans="1:35" x14ac:dyDescent="0.25">
      <c r="A43" s="16" t="s">
        <v>139</v>
      </c>
      <c r="B43" s="17" t="s">
        <v>140</v>
      </c>
      <c r="C43" s="17" t="s">
        <v>45</v>
      </c>
      <c r="D43" s="18"/>
      <c r="E43" s="18"/>
      <c r="F43" s="18">
        <v>0</v>
      </c>
      <c r="G43" s="18">
        <v>20</v>
      </c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15"/>
      <c r="AB43" t="s">
        <v>30</v>
      </c>
      <c r="AE43" t="s">
        <v>176</v>
      </c>
      <c r="AG43" t="s">
        <v>176</v>
      </c>
      <c r="AH43">
        <v>81.849999999999994</v>
      </c>
    </row>
    <row r="44" spans="1:35" x14ac:dyDescent="0.25">
      <c r="A44" s="13" t="s">
        <v>141</v>
      </c>
      <c r="B44" s="14" t="s">
        <v>142</v>
      </c>
      <c r="C44" s="14" t="s">
        <v>47</v>
      </c>
      <c r="D44" s="10"/>
      <c r="E44" s="10"/>
      <c r="F44" s="10">
        <v>15</v>
      </c>
      <c r="G44" s="10">
        <v>20</v>
      </c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15"/>
      <c r="AB44" t="s">
        <v>30</v>
      </c>
      <c r="AE44" t="s">
        <v>177</v>
      </c>
      <c r="AG44" t="s">
        <v>177</v>
      </c>
    </row>
    <row r="45" spans="1:35" x14ac:dyDescent="0.25">
      <c r="A45" s="16" t="s">
        <v>143</v>
      </c>
      <c r="B45" s="17" t="s">
        <v>144</v>
      </c>
      <c r="C45" s="17" t="s">
        <v>47</v>
      </c>
      <c r="D45" s="18"/>
      <c r="E45" s="18"/>
      <c r="F45" s="18">
        <v>15</v>
      </c>
      <c r="G45" s="18">
        <v>20</v>
      </c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15"/>
      <c r="AB45" t="s">
        <v>30</v>
      </c>
      <c r="AE45" t="s">
        <v>178</v>
      </c>
      <c r="AG45" t="s">
        <v>178</v>
      </c>
    </row>
    <row r="46" spans="1:35" x14ac:dyDescent="0.25">
      <c r="A46" s="13" t="s">
        <v>145</v>
      </c>
      <c r="B46" s="14" t="s">
        <v>146</v>
      </c>
      <c r="C46" s="19"/>
      <c r="D46" s="10"/>
      <c r="E46" s="10"/>
      <c r="F46" s="10">
        <v>0</v>
      </c>
      <c r="G46" s="10">
        <v>20</v>
      </c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15"/>
      <c r="AB46" t="s">
        <v>30</v>
      </c>
      <c r="AE46" t="s">
        <v>179</v>
      </c>
      <c r="AG46" t="s">
        <v>179</v>
      </c>
    </row>
    <row r="47" spans="1:35" x14ac:dyDescent="0.25">
      <c r="A47" s="16" t="s">
        <v>147</v>
      </c>
      <c r="B47" s="17" t="s">
        <v>148</v>
      </c>
      <c r="C47" s="17" t="s">
        <v>125</v>
      </c>
      <c r="D47" s="18"/>
      <c r="E47" s="18"/>
      <c r="F47" s="18">
        <v>0</v>
      </c>
      <c r="G47" s="18">
        <v>20</v>
      </c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15"/>
      <c r="AB47" t="s">
        <v>30</v>
      </c>
      <c r="AE47" t="s">
        <v>180</v>
      </c>
      <c r="AF47">
        <v>242.3</v>
      </c>
      <c r="AG47" t="s">
        <v>180</v>
      </c>
      <c r="AH47">
        <v>159</v>
      </c>
      <c r="AI47">
        <v>72.959999999999994</v>
      </c>
    </row>
    <row r="48" spans="1:35" x14ac:dyDescent="0.25">
      <c r="A48" s="13" t="s">
        <v>149</v>
      </c>
      <c r="B48" s="14" t="s">
        <v>150</v>
      </c>
      <c r="C48" s="14" t="s">
        <v>45</v>
      </c>
      <c r="D48" s="10"/>
      <c r="E48" s="10"/>
      <c r="F48" s="10">
        <v>0</v>
      </c>
      <c r="G48" s="10">
        <v>20</v>
      </c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15"/>
      <c r="AB48" t="s">
        <v>30</v>
      </c>
      <c r="AE48" t="s">
        <v>181</v>
      </c>
      <c r="AG48" t="s">
        <v>181</v>
      </c>
      <c r="AH48">
        <v>98.29</v>
      </c>
    </row>
    <row r="49" spans="1:35" x14ac:dyDescent="0.25">
      <c r="A49" s="16" t="s">
        <v>151</v>
      </c>
      <c r="B49" s="17" t="s">
        <v>152</v>
      </c>
      <c r="C49" s="17" t="s">
        <v>93</v>
      </c>
      <c r="D49" s="18"/>
      <c r="E49" s="18"/>
      <c r="F49" s="18">
        <v>15</v>
      </c>
      <c r="G49" s="18">
        <v>20</v>
      </c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15"/>
      <c r="AB49" t="s">
        <v>30</v>
      </c>
      <c r="AE49" t="s">
        <v>182</v>
      </c>
      <c r="AG49" t="s">
        <v>182</v>
      </c>
      <c r="AH49">
        <v>47.78</v>
      </c>
    </row>
    <row r="50" spans="1:35" x14ac:dyDescent="0.25">
      <c r="A50" s="13" t="s">
        <v>153</v>
      </c>
      <c r="B50" s="14" t="s">
        <v>154</v>
      </c>
      <c r="C50" s="14" t="s">
        <v>93</v>
      </c>
      <c r="D50" s="10"/>
      <c r="E50" s="10"/>
      <c r="F50" s="10">
        <v>15</v>
      </c>
      <c r="G50" s="10">
        <v>20</v>
      </c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15"/>
      <c r="AB50" t="s">
        <v>30</v>
      </c>
      <c r="AE50" t="s">
        <v>183</v>
      </c>
      <c r="AG50" t="s">
        <v>183</v>
      </c>
    </row>
    <row r="51" spans="1:35" x14ac:dyDescent="0.25">
      <c r="A51" s="16" t="s">
        <v>155</v>
      </c>
      <c r="B51" s="17" t="s">
        <v>156</v>
      </c>
      <c r="C51" s="19"/>
      <c r="D51" s="18"/>
      <c r="E51" s="18"/>
      <c r="F51" s="18">
        <v>15</v>
      </c>
      <c r="G51" s="18">
        <v>20</v>
      </c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15"/>
      <c r="AB51" t="s">
        <v>30</v>
      </c>
      <c r="AE51" t="s">
        <v>184</v>
      </c>
      <c r="AG51" t="s">
        <v>184</v>
      </c>
    </row>
    <row r="52" spans="1:35" x14ac:dyDescent="0.25">
      <c r="A52" s="13" t="s">
        <v>157</v>
      </c>
      <c r="B52" s="14" t="s">
        <v>52</v>
      </c>
      <c r="C52" s="14" t="s">
        <v>41</v>
      </c>
      <c r="D52" s="10"/>
      <c r="E52" s="10"/>
      <c r="F52" s="10">
        <v>15</v>
      </c>
      <c r="G52" s="10">
        <v>20</v>
      </c>
      <c r="H52" s="8"/>
      <c r="I52" s="8">
        <f>4970*0.15</f>
        <v>745.5</v>
      </c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15"/>
      <c r="AB52" t="s">
        <v>30</v>
      </c>
      <c r="AE52" t="s">
        <v>185</v>
      </c>
      <c r="AG52" t="s">
        <v>185</v>
      </c>
      <c r="AH52">
        <v>367.92</v>
      </c>
      <c r="AI52">
        <v>24.18</v>
      </c>
    </row>
    <row r="53" spans="1:35" x14ac:dyDescent="0.25">
      <c r="A53" s="16" t="s">
        <v>158</v>
      </c>
      <c r="B53" s="17" t="s">
        <v>159</v>
      </c>
      <c r="C53" s="17" t="s">
        <v>48</v>
      </c>
      <c r="D53" s="18"/>
      <c r="E53" s="18"/>
      <c r="F53" s="18">
        <v>15</v>
      </c>
      <c r="G53" s="18">
        <v>20</v>
      </c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15"/>
      <c r="AB53" t="s">
        <v>30</v>
      </c>
      <c r="AE53" t="s">
        <v>186</v>
      </c>
      <c r="AF53">
        <v>89.85</v>
      </c>
      <c r="AG53" t="s">
        <v>186</v>
      </c>
      <c r="AH53">
        <v>172.33</v>
      </c>
      <c r="AI53">
        <v>11.67</v>
      </c>
    </row>
    <row r="54" spans="1:35" x14ac:dyDescent="0.25">
      <c r="A54" s="13" t="s">
        <v>160</v>
      </c>
      <c r="B54" s="14" t="s">
        <v>161</v>
      </c>
      <c r="C54" s="14" t="s">
        <v>45</v>
      </c>
      <c r="D54" s="10"/>
      <c r="E54" s="10"/>
      <c r="F54" s="10">
        <v>0</v>
      </c>
      <c r="G54" s="10">
        <v>20</v>
      </c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15"/>
      <c r="AB54" t="s">
        <v>30</v>
      </c>
      <c r="AE54" t="s">
        <v>187</v>
      </c>
      <c r="AG54" t="s">
        <v>187</v>
      </c>
      <c r="AH54">
        <v>176.72</v>
      </c>
      <c r="AI54">
        <v>25.75</v>
      </c>
    </row>
    <row r="55" spans="1:35" x14ac:dyDescent="0.25">
      <c r="A55" s="16" t="s">
        <v>162</v>
      </c>
      <c r="B55" s="17" t="s">
        <v>163</v>
      </c>
      <c r="C55" s="17" t="s">
        <v>93</v>
      </c>
      <c r="D55" s="18"/>
      <c r="E55" s="18"/>
      <c r="F55" s="18">
        <v>15</v>
      </c>
      <c r="G55" s="18">
        <v>20</v>
      </c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15"/>
      <c r="AB55" t="s">
        <v>30</v>
      </c>
      <c r="AE55" t="s">
        <v>188</v>
      </c>
      <c r="AG55" t="s">
        <v>188</v>
      </c>
      <c r="AH55">
        <v>459</v>
      </c>
      <c r="AI55">
        <v>142.38999999999999</v>
      </c>
    </row>
    <row r="56" spans="1:35" x14ac:dyDescent="0.25">
      <c r="A56" s="13" t="s">
        <v>164</v>
      </c>
      <c r="B56" s="14" t="s">
        <v>165</v>
      </c>
      <c r="C56" s="14" t="s">
        <v>48</v>
      </c>
      <c r="D56" s="10"/>
      <c r="E56" s="10"/>
      <c r="F56" s="10">
        <v>15</v>
      </c>
      <c r="G56" s="10">
        <v>20</v>
      </c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15"/>
      <c r="AB56" t="s">
        <v>30</v>
      </c>
      <c r="AE56" t="s">
        <v>189</v>
      </c>
      <c r="AG56" t="s">
        <v>189</v>
      </c>
      <c r="AH56">
        <v>54.37</v>
      </c>
      <c r="AI56">
        <v>10.26</v>
      </c>
    </row>
    <row r="57" spans="1:35" x14ac:dyDescent="0.25">
      <c r="A57" s="16" t="s">
        <v>166</v>
      </c>
      <c r="B57" s="17" t="s">
        <v>167</v>
      </c>
      <c r="C57" s="17" t="s">
        <v>45</v>
      </c>
      <c r="D57" s="18"/>
      <c r="E57" s="18"/>
      <c r="F57" s="18">
        <v>0</v>
      </c>
      <c r="G57" s="18">
        <v>20</v>
      </c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15"/>
      <c r="AB57" t="s">
        <v>30</v>
      </c>
      <c r="AD57">
        <v>86.82</v>
      </c>
      <c r="AE57" t="s">
        <v>190</v>
      </c>
      <c r="AG57" t="s">
        <v>190</v>
      </c>
      <c r="AH57">
        <v>214.2</v>
      </c>
      <c r="AI57">
        <v>37.21</v>
      </c>
    </row>
    <row r="58" spans="1:35" x14ac:dyDescent="0.25">
      <c r="A58" s="13" t="s">
        <v>168</v>
      </c>
      <c r="B58" s="14" t="s">
        <v>169</v>
      </c>
      <c r="C58" s="14" t="s">
        <v>170</v>
      </c>
      <c r="D58" s="10"/>
      <c r="E58" s="10"/>
      <c r="F58" s="10">
        <v>0</v>
      </c>
      <c r="G58" s="10">
        <v>20</v>
      </c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15"/>
      <c r="AB58" t="s">
        <v>30</v>
      </c>
      <c r="AE58" t="s">
        <v>191</v>
      </c>
      <c r="AF58">
        <v>66.7</v>
      </c>
      <c r="AG58" t="s">
        <v>191</v>
      </c>
      <c r="AH58">
        <v>21.17</v>
      </c>
    </row>
    <row r="59" spans="1:35" x14ac:dyDescent="0.25">
      <c r="A59" s="16" t="s">
        <v>171</v>
      </c>
      <c r="B59" s="17" t="s">
        <v>172</v>
      </c>
      <c r="C59" s="17" t="s">
        <v>48</v>
      </c>
      <c r="D59" s="18"/>
      <c r="E59" s="18"/>
      <c r="F59" s="18">
        <v>15</v>
      </c>
      <c r="G59" s="18">
        <v>20</v>
      </c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15"/>
      <c r="AB59" t="s">
        <v>30</v>
      </c>
      <c r="AE59" t="s">
        <v>192</v>
      </c>
      <c r="AF59">
        <v>149.51</v>
      </c>
      <c r="AG59" t="s">
        <v>192</v>
      </c>
      <c r="AH59">
        <v>125.7</v>
      </c>
      <c r="AI59">
        <v>51.05</v>
      </c>
    </row>
    <row r="60" spans="1:35" x14ac:dyDescent="0.25">
      <c r="A60" s="13" t="s">
        <v>173</v>
      </c>
      <c r="B60" s="14" t="s">
        <v>174</v>
      </c>
      <c r="C60" s="14" t="s">
        <v>48</v>
      </c>
      <c r="D60" s="10"/>
      <c r="E60" s="10"/>
      <c r="F60" s="10">
        <v>15</v>
      </c>
      <c r="G60" s="10">
        <v>20</v>
      </c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15"/>
      <c r="AB60" t="s">
        <v>30</v>
      </c>
      <c r="AE60" t="s">
        <v>193</v>
      </c>
      <c r="AG60" t="s">
        <v>193</v>
      </c>
    </row>
    <row r="61" spans="1:35" ht="8.1" customHeight="1" thickBot="1" x14ac:dyDescent="0.3"/>
    <row r="62" spans="1:35" x14ac:dyDescent="0.25">
      <c r="A62" s="30" t="s">
        <v>194</v>
      </c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</row>
    <row r="63" spans="1:35" x14ac:dyDescent="0.25">
      <c r="A63" s="13" t="s">
        <v>195</v>
      </c>
      <c r="B63" s="14" t="s">
        <v>196</v>
      </c>
      <c r="C63" s="14" t="s">
        <v>47</v>
      </c>
      <c r="D63" s="10">
        <v>760.15</v>
      </c>
      <c r="E63" s="10">
        <v>30</v>
      </c>
      <c r="F63" s="10">
        <v>15</v>
      </c>
      <c r="G63" s="10">
        <v>20</v>
      </c>
      <c r="H63" s="8">
        <v>7.6014999999999997</v>
      </c>
      <c r="I63" s="8">
        <v>120</v>
      </c>
      <c r="J63" s="8">
        <v>887.75149999999996</v>
      </c>
      <c r="K63" s="8">
        <v>133.16272499999999</v>
      </c>
      <c r="L63" s="8">
        <v>4.4387575000000004</v>
      </c>
      <c r="M63" s="8">
        <v>153.802947375</v>
      </c>
      <c r="N63" s="8">
        <v>291.40442987500001</v>
      </c>
      <c r="O63" s="8">
        <v>38.0075</v>
      </c>
      <c r="P63" s="8">
        <v>127.64999999999999</v>
      </c>
      <c r="Q63" s="8">
        <v>3.4465499999999998</v>
      </c>
      <c r="R63" s="8">
        <v>2.1700499999999998</v>
      </c>
      <c r="S63" s="8">
        <v>29.571428571428566</v>
      </c>
      <c r="T63" s="8">
        <v>162.83802857142854</v>
      </c>
      <c r="U63" s="8">
        <v>1252.3999584464286</v>
      </c>
      <c r="V63" s="8">
        <v>250.47999168928573</v>
      </c>
      <c r="W63" s="8">
        <v>153.802947375</v>
      </c>
      <c r="X63" s="15">
        <v>1349.0770027607143</v>
      </c>
      <c r="AB63" t="s">
        <v>30</v>
      </c>
      <c r="AH63">
        <v>661.13</v>
      </c>
    </row>
    <row r="64" spans="1:35" x14ac:dyDescent="0.25">
      <c r="A64" s="16" t="s">
        <v>197</v>
      </c>
      <c r="B64" s="17" t="s">
        <v>198</v>
      </c>
      <c r="C64" s="17" t="s">
        <v>41</v>
      </c>
      <c r="D64" s="18">
        <v>235.14049999999997</v>
      </c>
      <c r="E64" s="18">
        <v>10</v>
      </c>
      <c r="F64" s="18">
        <v>15</v>
      </c>
      <c r="G64" s="18">
        <v>20</v>
      </c>
      <c r="H64" s="8">
        <v>2.3514049999999997</v>
      </c>
      <c r="I64" s="8">
        <v>40</v>
      </c>
      <c r="J64" s="8">
        <v>277.49190499999997</v>
      </c>
      <c r="K64" s="8">
        <v>41.623785749999996</v>
      </c>
      <c r="L64" s="8">
        <v>1.3874595249999999</v>
      </c>
      <c r="M64" s="8">
        <v>48.075472541250001</v>
      </c>
      <c r="N64" s="8">
        <v>91.086717816250001</v>
      </c>
      <c r="O64" s="8">
        <v>11.757024999999999</v>
      </c>
      <c r="P64" s="8">
        <v>42.55</v>
      </c>
      <c r="Q64" s="8">
        <v>1.1488499999999999</v>
      </c>
      <c r="R64" s="8">
        <v>0.72335000000000005</v>
      </c>
      <c r="S64" s="8">
        <v>9.8571428571428559</v>
      </c>
      <c r="T64" s="8">
        <v>54.279342857142858</v>
      </c>
      <c r="U64" s="8">
        <v>392.26358567339287</v>
      </c>
      <c r="V64" s="8">
        <v>78.452717134678579</v>
      </c>
      <c r="W64" s="8">
        <v>48.075472541250001</v>
      </c>
      <c r="X64" s="15">
        <v>422.64083026682141</v>
      </c>
      <c r="AB64" t="s">
        <v>30</v>
      </c>
      <c r="AH64">
        <v>204.47</v>
      </c>
    </row>
    <row r="65" spans="1:35" x14ac:dyDescent="0.25">
      <c r="A65" s="13" t="s">
        <v>199</v>
      </c>
      <c r="B65" s="14" t="s">
        <v>200</v>
      </c>
      <c r="C65" s="14" t="s">
        <v>201</v>
      </c>
      <c r="D65" s="18">
        <v>351.53199999999998</v>
      </c>
      <c r="E65" s="10">
        <v>5</v>
      </c>
      <c r="F65" s="10">
        <v>0</v>
      </c>
      <c r="G65" s="10">
        <v>20</v>
      </c>
      <c r="H65" s="8">
        <v>3.51532</v>
      </c>
      <c r="I65" s="8">
        <v>20</v>
      </c>
      <c r="J65" s="8">
        <v>375.04731999999996</v>
      </c>
      <c r="K65" s="8">
        <v>0</v>
      </c>
      <c r="L65" s="8">
        <v>1.8752365999999998</v>
      </c>
      <c r="M65" s="8">
        <v>56.538383489999994</v>
      </c>
      <c r="N65" s="8">
        <v>58.413620089999995</v>
      </c>
      <c r="O65" s="8">
        <v>17.576599999999999</v>
      </c>
      <c r="P65" s="8">
        <v>21.274999999999999</v>
      </c>
      <c r="Q65" s="8">
        <v>0.57442499999999996</v>
      </c>
      <c r="R65" s="8">
        <v>0.36167500000000002</v>
      </c>
      <c r="S65" s="8">
        <v>4.9285714285714279</v>
      </c>
      <c r="T65" s="8">
        <v>27.139671428571429</v>
      </c>
      <c r="U65" s="8">
        <v>454.66189151857139</v>
      </c>
      <c r="V65" s="8">
        <v>90.932378303714287</v>
      </c>
      <c r="W65" s="8">
        <v>56.538383489999994</v>
      </c>
      <c r="X65" s="15">
        <v>489.0558863322857</v>
      </c>
      <c r="AB65" t="s">
        <v>30</v>
      </c>
      <c r="AH65">
        <v>305.68</v>
      </c>
      <c r="AI65">
        <v>43.62</v>
      </c>
    </row>
    <row r="66" spans="1:35" x14ac:dyDescent="0.25">
      <c r="A66" s="16" t="s">
        <v>202</v>
      </c>
      <c r="B66" s="17" t="s">
        <v>203</v>
      </c>
      <c r="C66" s="17" t="s">
        <v>201</v>
      </c>
      <c r="D66" s="18">
        <v>0</v>
      </c>
      <c r="E66" s="18">
        <v>2</v>
      </c>
      <c r="F66" s="18">
        <v>0</v>
      </c>
      <c r="G66" s="18">
        <v>20</v>
      </c>
      <c r="H66" s="8">
        <v>0</v>
      </c>
      <c r="I66" s="8">
        <v>8</v>
      </c>
      <c r="J66" s="8">
        <v>8</v>
      </c>
      <c r="K66" s="8">
        <v>0</v>
      </c>
      <c r="L66" s="8">
        <v>0.04</v>
      </c>
      <c r="M66" s="8">
        <v>1.2059999999999997</v>
      </c>
      <c r="N66" s="8">
        <v>1.2459999999999998</v>
      </c>
      <c r="O66" s="8">
        <v>0</v>
      </c>
      <c r="P66" s="8">
        <v>8.51</v>
      </c>
      <c r="Q66" s="8">
        <v>0.22977</v>
      </c>
      <c r="R66" s="8">
        <v>0.14466999999999999</v>
      </c>
      <c r="S66" s="8">
        <v>1.9714285714285711</v>
      </c>
      <c r="T66" s="8">
        <v>10.855868571428571</v>
      </c>
      <c r="U66" s="8">
        <v>12.101868571428572</v>
      </c>
      <c r="V66" s="8">
        <v>2.4203737142857147</v>
      </c>
      <c r="W66" s="8">
        <v>1.2059999999999997</v>
      </c>
      <c r="X66" s="15">
        <v>13.316242285714287</v>
      </c>
      <c r="AB66" t="s">
        <v>30</v>
      </c>
    </row>
    <row r="67" spans="1:35" x14ac:dyDescent="0.25">
      <c r="A67" s="13" t="s">
        <v>204</v>
      </c>
      <c r="B67" s="14" t="s">
        <v>205</v>
      </c>
      <c r="C67" s="14" t="s">
        <v>201</v>
      </c>
      <c r="D67" s="18">
        <v>0</v>
      </c>
      <c r="E67" s="10">
        <v>2</v>
      </c>
      <c r="F67" s="10">
        <v>0</v>
      </c>
      <c r="G67" s="10">
        <v>20</v>
      </c>
      <c r="H67" s="8">
        <v>0</v>
      </c>
      <c r="I67" s="8">
        <v>8</v>
      </c>
      <c r="J67" s="8">
        <v>8</v>
      </c>
      <c r="K67" s="8">
        <v>0</v>
      </c>
      <c r="L67" s="8">
        <v>0.04</v>
      </c>
      <c r="M67" s="8">
        <v>1.2059999999999997</v>
      </c>
      <c r="N67" s="8">
        <v>1.2459999999999998</v>
      </c>
      <c r="O67" s="8">
        <v>0</v>
      </c>
      <c r="P67" s="8">
        <v>8.51</v>
      </c>
      <c r="Q67" s="8">
        <v>0.22977</v>
      </c>
      <c r="R67" s="8">
        <v>0.14466999999999999</v>
      </c>
      <c r="S67" s="8">
        <v>1.9714285714285711</v>
      </c>
      <c r="T67" s="8">
        <v>10.855868571428571</v>
      </c>
      <c r="U67" s="8">
        <v>12.101868571428572</v>
      </c>
      <c r="V67" s="8">
        <v>2.4203737142857147</v>
      </c>
      <c r="W67" s="8">
        <v>1.2059999999999997</v>
      </c>
      <c r="X67" s="15">
        <v>13.316242285714287</v>
      </c>
      <c r="AB67" t="s">
        <v>30</v>
      </c>
    </row>
    <row r="68" spans="1:35" x14ac:dyDescent="0.25">
      <c r="A68" s="16" t="s">
        <v>206</v>
      </c>
      <c r="B68" s="17" t="s">
        <v>207</v>
      </c>
      <c r="C68" s="17" t="s">
        <v>41</v>
      </c>
      <c r="D68" s="18">
        <v>90.585499999999982</v>
      </c>
      <c r="E68" s="18">
        <v>1</v>
      </c>
      <c r="F68" s="18">
        <v>15</v>
      </c>
      <c r="G68" s="18">
        <v>20</v>
      </c>
      <c r="H68" s="8">
        <v>0.90585499999999985</v>
      </c>
      <c r="I68" s="8">
        <v>4</v>
      </c>
      <c r="J68" s="8">
        <v>95.491354999999984</v>
      </c>
      <c r="K68" s="8">
        <v>14.323703249999998</v>
      </c>
      <c r="L68" s="8">
        <v>0.47745677499999994</v>
      </c>
      <c r="M68" s="8">
        <v>16.543877253749994</v>
      </c>
      <c r="N68" s="8">
        <v>31.345037278749992</v>
      </c>
      <c r="O68" s="8">
        <v>4.5292749999999993</v>
      </c>
      <c r="P68" s="8">
        <v>4.2549999999999999</v>
      </c>
      <c r="Q68" s="8">
        <v>0.114885</v>
      </c>
      <c r="R68" s="8">
        <v>7.2334999999999997E-2</v>
      </c>
      <c r="S68" s="8">
        <v>0.98571428571428554</v>
      </c>
      <c r="T68" s="8">
        <v>5.4279342857142856</v>
      </c>
      <c r="U68" s="8">
        <v>131.88774656446427</v>
      </c>
      <c r="V68" s="8">
        <v>26.377549312892853</v>
      </c>
      <c r="W68" s="8">
        <v>16.543877253749994</v>
      </c>
      <c r="X68" s="15">
        <v>141.72141862360712</v>
      </c>
      <c r="AB68" t="s">
        <v>30</v>
      </c>
      <c r="AH68">
        <v>78.77</v>
      </c>
    </row>
    <row r="69" spans="1:35" x14ac:dyDescent="0.25">
      <c r="A69" s="13" t="s">
        <v>208</v>
      </c>
      <c r="B69" s="14" t="s">
        <v>209</v>
      </c>
      <c r="C69" s="14" t="s">
        <v>125</v>
      </c>
      <c r="D69" s="18">
        <v>85.375999999999991</v>
      </c>
      <c r="E69" s="10">
        <v>1</v>
      </c>
      <c r="F69" s="10">
        <v>0</v>
      </c>
      <c r="G69" s="10">
        <v>20</v>
      </c>
      <c r="H69" s="8">
        <v>0.85375999999999996</v>
      </c>
      <c r="I69" s="8">
        <v>4</v>
      </c>
      <c r="J69" s="8">
        <v>90.229759999999985</v>
      </c>
      <c r="K69" s="8">
        <v>0</v>
      </c>
      <c r="L69" s="8">
        <v>0.45114879999999991</v>
      </c>
      <c r="M69" s="8">
        <v>13.602136319999998</v>
      </c>
      <c r="N69" s="8">
        <v>14.053285119999998</v>
      </c>
      <c r="O69" s="8">
        <v>4.2687999999999997</v>
      </c>
      <c r="P69" s="8">
        <v>4.2549999999999999</v>
      </c>
      <c r="Q69" s="8">
        <v>0.114885</v>
      </c>
      <c r="R69" s="8">
        <v>7.2334999999999997E-2</v>
      </c>
      <c r="S69" s="8">
        <v>0.98571428571428554</v>
      </c>
      <c r="T69" s="8">
        <v>5.4279342857142856</v>
      </c>
      <c r="U69" s="8">
        <v>109.12601940571427</v>
      </c>
      <c r="V69" s="8">
        <v>21.825203881142855</v>
      </c>
      <c r="W69" s="8">
        <v>13.602136319999998</v>
      </c>
      <c r="X69" s="15">
        <v>117.34908696685713</v>
      </c>
      <c r="AB69" t="s">
        <v>30</v>
      </c>
      <c r="AH69">
        <v>74.239999999999995</v>
      </c>
      <c r="AI69">
        <v>37.659999999999997</v>
      </c>
    </row>
    <row r="70" spans="1:35" x14ac:dyDescent="0.25">
      <c r="A70" s="16" t="s">
        <v>210</v>
      </c>
      <c r="B70" s="17" t="s">
        <v>211</v>
      </c>
      <c r="C70" s="17" t="s">
        <v>125</v>
      </c>
      <c r="D70" s="18">
        <v>228.88449999999997</v>
      </c>
      <c r="E70" s="18">
        <v>7</v>
      </c>
      <c r="F70" s="18">
        <v>0</v>
      </c>
      <c r="G70" s="18">
        <v>20</v>
      </c>
      <c r="H70" s="8">
        <v>2.2888449999999998</v>
      </c>
      <c r="I70" s="8">
        <v>28</v>
      </c>
      <c r="J70" s="8">
        <v>259.17334499999998</v>
      </c>
      <c r="K70" s="8">
        <v>0</v>
      </c>
      <c r="L70" s="8">
        <v>1.295866725</v>
      </c>
      <c r="M70" s="8">
        <v>39.070381758749996</v>
      </c>
      <c r="N70" s="8">
        <v>40.366248483749999</v>
      </c>
      <c r="O70" s="8">
        <v>11.444224999999999</v>
      </c>
      <c r="P70" s="8">
        <v>29.785</v>
      </c>
      <c r="Q70" s="8">
        <v>0.80419499999999999</v>
      </c>
      <c r="R70" s="8">
        <v>0.50634500000000005</v>
      </c>
      <c r="S70" s="8">
        <v>6.8999999999999995</v>
      </c>
      <c r="T70" s="8">
        <v>37.995539999999998</v>
      </c>
      <c r="U70" s="8">
        <v>318.69051348374995</v>
      </c>
      <c r="V70" s="8">
        <v>63.738102696749991</v>
      </c>
      <c r="W70" s="8">
        <v>39.070381758749996</v>
      </c>
      <c r="X70" s="15">
        <v>343.35823442174996</v>
      </c>
      <c r="AB70" t="s">
        <v>30</v>
      </c>
      <c r="AH70">
        <v>199.03</v>
      </c>
    </row>
    <row r="71" spans="1:35" x14ac:dyDescent="0.25">
      <c r="A71" s="13" t="s">
        <v>212</v>
      </c>
      <c r="B71" s="14" t="s">
        <v>124</v>
      </c>
      <c r="C71" s="14" t="s">
        <v>125</v>
      </c>
      <c r="D71" s="18">
        <v>228.88449999999997</v>
      </c>
      <c r="E71" s="10">
        <v>7</v>
      </c>
      <c r="F71" s="10">
        <v>0</v>
      </c>
      <c r="G71" s="10">
        <v>20</v>
      </c>
      <c r="H71" s="8">
        <v>2.2888449999999998</v>
      </c>
      <c r="I71" s="8">
        <v>28</v>
      </c>
      <c r="J71" s="8">
        <v>259.17334499999998</v>
      </c>
      <c r="K71" s="8">
        <v>0</v>
      </c>
      <c r="L71" s="8">
        <v>1.295866725</v>
      </c>
      <c r="M71" s="8">
        <v>39.070381758749996</v>
      </c>
      <c r="N71" s="8">
        <v>40.366248483749999</v>
      </c>
      <c r="O71" s="8">
        <v>11.444224999999999</v>
      </c>
      <c r="P71" s="8">
        <v>29.785</v>
      </c>
      <c r="Q71" s="8">
        <v>0.80419499999999999</v>
      </c>
      <c r="R71" s="8">
        <v>0.50634500000000005</v>
      </c>
      <c r="S71" s="8">
        <v>6.8999999999999995</v>
      </c>
      <c r="T71" s="8">
        <v>37.995539999999998</v>
      </c>
      <c r="U71" s="8">
        <v>318.69051348374995</v>
      </c>
      <c r="V71" s="8">
        <v>63.738102696749991</v>
      </c>
      <c r="W71" s="8">
        <v>39.070381758749996</v>
      </c>
      <c r="X71" s="15">
        <v>343.35823442174996</v>
      </c>
      <c r="AB71" t="s">
        <v>30</v>
      </c>
      <c r="AH71">
        <v>199.03</v>
      </c>
      <c r="AI71">
        <v>106.77</v>
      </c>
    </row>
    <row r="72" spans="1:35" x14ac:dyDescent="0.25">
      <c r="A72" s="16" t="s">
        <v>213</v>
      </c>
      <c r="B72" s="17" t="s">
        <v>214</v>
      </c>
      <c r="C72" s="17" t="s">
        <v>48</v>
      </c>
      <c r="D72" s="18">
        <v>14.443999999999999</v>
      </c>
      <c r="E72" s="18">
        <v>1</v>
      </c>
      <c r="F72" s="18">
        <v>15</v>
      </c>
      <c r="G72" s="18">
        <v>20</v>
      </c>
      <c r="H72" s="8">
        <v>0.14443999999999999</v>
      </c>
      <c r="I72" s="8">
        <v>4</v>
      </c>
      <c r="J72" s="8">
        <v>18.588439999999999</v>
      </c>
      <c r="K72" s="8">
        <v>2.7882659999999997</v>
      </c>
      <c r="L72" s="8">
        <v>9.2942199999999989E-2</v>
      </c>
      <c r="M72" s="8">
        <v>3.2204472299999995</v>
      </c>
      <c r="N72" s="8">
        <v>6.1016554299999992</v>
      </c>
      <c r="O72" s="8">
        <v>0.72219999999999995</v>
      </c>
      <c r="P72" s="8">
        <v>4.2549999999999999</v>
      </c>
      <c r="Q72" s="8">
        <v>0.114885</v>
      </c>
      <c r="R72" s="8">
        <v>7.2334999999999997E-2</v>
      </c>
      <c r="S72" s="8">
        <v>0.98571428571428554</v>
      </c>
      <c r="T72" s="8">
        <v>5.4279342857142856</v>
      </c>
      <c r="U72" s="8">
        <v>26.695789715714284</v>
      </c>
      <c r="V72" s="8">
        <v>5.3391579431428573</v>
      </c>
      <c r="W72" s="8">
        <v>3.2204472299999995</v>
      </c>
      <c r="X72" s="15">
        <v>28.814500428857144</v>
      </c>
      <c r="AB72" t="s">
        <v>30</v>
      </c>
      <c r="AH72">
        <v>12.56</v>
      </c>
      <c r="AI72">
        <v>8.26</v>
      </c>
    </row>
    <row r="73" spans="1:35" x14ac:dyDescent="0.25">
      <c r="A73" s="13" t="s">
        <v>215</v>
      </c>
      <c r="B73" s="14" t="s">
        <v>52</v>
      </c>
      <c r="C73" s="14" t="s">
        <v>41</v>
      </c>
      <c r="D73" s="18">
        <v>404.45499999999998</v>
      </c>
      <c r="E73" s="10">
        <v>15</v>
      </c>
      <c r="F73" s="10">
        <v>15</v>
      </c>
      <c r="G73" s="10">
        <v>20</v>
      </c>
      <c r="H73" s="8">
        <v>4.0445500000000001</v>
      </c>
      <c r="I73" s="8">
        <v>60</v>
      </c>
      <c r="J73" s="8">
        <v>468.49955</v>
      </c>
      <c r="K73" s="8">
        <v>70.274932499999991</v>
      </c>
      <c r="L73" s="8">
        <v>2.3424977500000002</v>
      </c>
      <c r="M73" s="8">
        <v>81.1675470375</v>
      </c>
      <c r="N73" s="8">
        <v>153.7849772875</v>
      </c>
      <c r="O73" s="8">
        <v>20.222750000000001</v>
      </c>
      <c r="P73" s="8">
        <v>63.824999999999996</v>
      </c>
      <c r="Q73" s="8">
        <v>1.7232749999999999</v>
      </c>
      <c r="R73" s="8">
        <v>1.0850249999999999</v>
      </c>
      <c r="S73" s="8">
        <v>14.785714285714283</v>
      </c>
      <c r="T73" s="8">
        <v>81.419014285714269</v>
      </c>
      <c r="U73" s="8">
        <v>659.8817415732143</v>
      </c>
      <c r="V73" s="8">
        <v>131.97634831464288</v>
      </c>
      <c r="W73" s="8">
        <v>81.1675470375</v>
      </c>
      <c r="X73" s="15">
        <v>710.69054285035725</v>
      </c>
      <c r="AB73" t="s">
        <v>30</v>
      </c>
      <c r="AH73">
        <v>351.7</v>
      </c>
    </row>
    <row r="74" spans="1:35" x14ac:dyDescent="0.25">
      <c r="A74" s="16" t="s">
        <v>216</v>
      </c>
      <c r="B74" s="17" t="s">
        <v>217</v>
      </c>
      <c r="C74" s="17" t="s">
        <v>218</v>
      </c>
      <c r="D74" s="18">
        <v>0</v>
      </c>
      <c r="E74" s="18">
        <v>1</v>
      </c>
      <c r="F74" s="18">
        <v>15</v>
      </c>
      <c r="G74" s="18">
        <v>20</v>
      </c>
      <c r="H74" s="8">
        <v>0</v>
      </c>
      <c r="I74" s="8">
        <v>4</v>
      </c>
      <c r="J74" s="8">
        <v>4</v>
      </c>
      <c r="K74" s="8">
        <v>0.6</v>
      </c>
      <c r="L74" s="8">
        <v>0.02</v>
      </c>
      <c r="M74" s="8">
        <v>0.69299999999999984</v>
      </c>
      <c r="N74" s="8">
        <v>1.3129999999999997</v>
      </c>
      <c r="O74" s="8">
        <v>0</v>
      </c>
      <c r="P74" s="8">
        <v>4.2549999999999999</v>
      </c>
      <c r="Q74" s="8">
        <v>0.114885</v>
      </c>
      <c r="R74" s="8">
        <v>7.2334999999999997E-2</v>
      </c>
      <c r="S74" s="8">
        <v>0.98571428571428554</v>
      </c>
      <c r="T74" s="8">
        <v>5.4279342857142856</v>
      </c>
      <c r="U74" s="8">
        <v>6.7409342857142853</v>
      </c>
      <c r="V74" s="8">
        <v>1.3481868571428572</v>
      </c>
      <c r="W74" s="8">
        <v>0.69299999999999984</v>
      </c>
      <c r="X74" s="15">
        <v>7.3961211428571421</v>
      </c>
      <c r="AB74" t="s">
        <v>30</v>
      </c>
    </row>
    <row r="75" spans="1:35" x14ac:dyDescent="0.25">
      <c r="A75" s="13" t="s">
        <v>219</v>
      </c>
      <c r="B75" s="14" t="s">
        <v>220</v>
      </c>
      <c r="C75" s="14" t="s">
        <v>218</v>
      </c>
      <c r="D75" s="18">
        <v>0</v>
      </c>
      <c r="E75" s="10">
        <v>1</v>
      </c>
      <c r="F75" s="10">
        <v>15</v>
      </c>
      <c r="G75" s="10">
        <v>20</v>
      </c>
      <c r="H75" s="8">
        <v>0</v>
      </c>
      <c r="I75" s="8">
        <v>4</v>
      </c>
      <c r="J75" s="8">
        <v>4</v>
      </c>
      <c r="K75" s="8">
        <v>0.6</v>
      </c>
      <c r="L75" s="8">
        <v>0.02</v>
      </c>
      <c r="M75" s="8">
        <v>0.69299999999999984</v>
      </c>
      <c r="N75" s="8">
        <v>1.3129999999999997</v>
      </c>
      <c r="O75" s="8">
        <v>0</v>
      </c>
      <c r="P75" s="8">
        <v>4.2549999999999999</v>
      </c>
      <c r="Q75" s="8">
        <v>0.114885</v>
      </c>
      <c r="R75" s="8">
        <v>7.2334999999999997E-2</v>
      </c>
      <c r="S75" s="8">
        <v>0.98571428571428554</v>
      </c>
      <c r="T75" s="8">
        <v>5.4279342857142856</v>
      </c>
      <c r="U75" s="8">
        <v>6.7409342857142853</v>
      </c>
      <c r="V75" s="8">
        <v>1.3481868571428572</v>
      </c>
      <c r="W75" s="8">
        <v>0.69299999999999984</v>
      </c>
      <c r="X75" s="15">
        <v>7.3961211428571421</v>
      </c>
      <c r="AB75" t="s">
        <v>30</v>
      </c>
    </row>
    <row r="76" spans="1:35" x14ac:dyDescent="0.25">
      <c r="A76" s="16" t="s">
        <v>221</v>
      </c>
      <c r="B76" s="17" t="s">
        <v>222</v>
      </c>
      <c r="C76" s="17"/>
      <c r="D76" s="18">
        <v>0</v>
      </c>
      <c r="E76" s="18">
        <v>1</v>
      </c>
      <c r="F76" s="18"/>
      <c r="G76" s="18">
        <v>20</v>
      </c>
      <c r="H76" s="8">
        <v>0</v>
      </c>
      <c r="I76" s="8">
        <v>4</v>
      </c>
      <c r="J76" s="8">
        <v>4</v>
      </c>
      <c r="K76" s="8">
        <v>0</v>
      </c>
      <c r="L76" s="8">
        <v>0.02</v>
      </c>
      <c r="M76" s="8">
        <v>0.60299999999999987</v>
      </c>
      <c r="N76" s="8">
        <v>0.62299999999999989</v>
      </c>
      <c r="O76" s="8">
        <v>0</v>
      </c>
      <c r="P76" s="8">
        <v>4.2549999999999999</v>
      </c>
      <c r="Q76" s="8">
        <v>0.114885</v>
      </c>
      <c r="R76" s="8">
        <v>7.2334999999999997E-2</v>
      </c>
      <c r="S76" s="8">
        <v>0.98571428571428554</v>
      </c>
      <c r="T76" s="8">
        <v>5.4279342857142856</v>
      </c>
      <c r="U76" s="8">
        <v>6.0509342857142858</v>
      </c>
      <c r="V76" s="8">
        <v>1.2101868571428573</v>
      </c>
      <c r="W76" s="8">
        <v>0.60299999999999987</v>
      </c>
      <c r="X76" s="15">
        <v>6.6581211428571434</v>
      </c>
      <c r="AB76" t="s">
        <v>30</v>
      </c>
    </row>
    <row r="77" spans="1:35" x14ac:dyDescent="0.25">
      <c r="A77" s="13" t="s">
        <v>223</v>
      </c>
      <c r="B77" s="14" t="s">
        <v>224</v>
      </c>
      <c r="C77" s="14" t="s">
        <v>125</v>
      </c>
      <c r="D77" s="18">
        <v>41.676000000000002</v>
      </c>
      <c r="E77" s="10">
        <v>1</v>
      </c>
      <c r="F77" s="10">
        <v>0</v>
      </c>
      <c r="G77" s="10">
        <v>20</v>
      </c>
      <c r="H77" s="8">
        <v>0.41676000000000002</v>
      </c>
      <c r="I77" s="8">
        <v>4</v>
      </c>
      <c r="J77" s="8">
        <v>46.092759999999998</v>
      </c>
      <c r="K77" s="8">
        <v>0</v>
      </c>
      <c r="L77" s="8">
        <v>0.2304638</v>
      </c>
      <c r="M77" s="8">
        <v>6.9484835699999996</v>
      </c>
      <c r="N77" s="8">
        <v>7.1789473699999995</v>
      </c>
      <c r="O77" s="8">
        <v>2.0838000000000001</v>
      </c>
      <c r="P77" s="8">
        <v>4.2549999999999999</v>
      </c>
      <c r="Q77" s="8">
        <v>0.114885</v>
      </c>
      <c r="R77" s="8">
        <v>7.2334999999999997E-2</v>
      </c>
      <c r="S77" s="8">
        <v>0.98571428571428554</v>
      </c>
      <c r="T77" s="8">
        <v>5.4279342857142856</v>
      </c>
      <c r="U77" s="8">
        <v>56.366681655714288</v>
      </c>
      <c r="V77" s="8">
        <v>11.273336331142858</v>
      </c>
      <c r="W77" s="8">
        <v>6.9484835699999996</v>
      </c>
      <c r="X77" s="15">
        <v>60.691534416857145</v>
      </c>
      <c r="AB77" t="s">
        <v>30</v>
      </c>
      <c r="AH77">
        <v>36.24</v>
      </c>
    </row>
    <row r="78" spans="1:35" x14ac:dyDescent="0.25">
      <c r="A78" s="16" t="s">
        <v>225</v>
      </c>
      <c r="B78" s="17" t="s">
        <v>226</v>
      </c>
      <c r="C78" s="17" t="s">
        <v>41</v>
      </c>
      <c r="D78" s="18">
        <v>76.682000000000002</v>
      </c>
      <c r="E78" s="18">
        <v>1</v>
      </c>
      <c r="F78" s="18">
        <v>15</v>
      </c>
      <c r="G78" s="18">
        <v>20</v>
      </c>
      <c r="H78" s="8">
        <v>0.76682000000000006</v>
      </c>
      <c r="I78" s="8">
        <v>4</v>
      </c>
      <c r="J78" s="8">
        <v>81.448819999999998</v>
      </c>
      <c r="K78" s="8">
        <v>12.217322999999999</v>
      </c>
      <c r="L78" s="8">
        <v>0.4072441</v>
      </c>
      <c r="M78" s="8">
        <v>14.111008064999998</v>
      </c>
      <c r="N78" s="8">
        <v>26.735575164999997</v>
      </c>
      <c r="O78" s="8">
        <v>3.8341000000000003</v>
      </c>
      <c r="P78" s="8">
        <v>4.2549999999999999</v>
      </c>
      <c r="Q78" s="8">
        <v>0.114885</v>
      </c>
      <c r="R78" s="8">
        <v>7.2334999999999997E-2</v>
      </c>
      <c r="S78" s="8">
        <v>0.98571428571428554</v>
      </c>
      <c r="T78" s="8">
        <v>5.4279342857142856</v>
      </c>
      <c r="U78" s="8">
        <v>112.6796094507143</v>
      </c>
      <c r="V78" s="8">
        <v>22.535921890142859</v>
      </c>
      <c r="W78" s="8">
        <v>14.111008064999998</v>
      </c>
      <c r="X78" s="15">
        <v>121.10452327585716</v>
      </c>
      <c r="AB78" t="s">
        <v>30</v>
      </c>
      <c r="AH78">
        <v>66.680000000000007</v>
      </c>
    </row>
    <row r="79" spans="1:35" ht="8.1" customHeight="1" thickBot="1" x14ac:dyDescent="0.3"/>
    <row r="80" spans="1:35" x14ac:dyDescent="0.25">
      <c r="A80" s="30" t="s">
        <v>227</v>
      </c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</row>
    <row r="81" spans="1:35" x14ac:dyDescent="0.25">
      <c r="A81" s="13" t="s">
        <v>228</v>
      </c>
      <c r="B81" s="21" t="s">
        <v>231</v>
      </c>
      <c r="C81" s="14" t="s">
        <v>93</v>
      </c>
      <c r="D81" s="10">
        <v>176</v>
      </c>
      <c r="E81" s="10">
        <v>1</v>
      </c>
      <c r="F81" s="10">
        <v>15</v>
      </c>
      <c r="G81" s="10">
        <v>40</v>
      </c>
      <c r="H81" s="8">
        <v>1.76</v>
      </c>
      <c r="I81" s="8">
        <v>4</v>
      </c>
      <c r="J81" s="8">
        <v>181.76</v>
      </c>
      <c r="K81" s="8">
        <v>27.263999999999999</v>
      </c>
      <c r="L81" s="8">
        <v>0.90879999999999994</v>
      </c>
      <c r="M81" s="8">
        <v>31.489920000000001</v>
      </c>
      <c r="N81" s="8">
        <v>59.66272</v>
      </c>
      <c r="O81" s="8">
        <v>8.8000000000000007</v>
      </c>
      <c r="P81" s="8">
        <v>4.2549999999999999</v>
      </c>
      <c r="Q81" s="8">
        <v>0.114885</v>
      </c>
      <c r="R81" s="8">
        <v>7.2334999999999997E-2</v>
      </c>
      <c r="S81" s="8">
        <v>0.98571428571428554</v>
      </c>
      <c r="T81" s="8">
        <v>5.4279342857142856</v>
      </c>
      <c r="U81" s="8">
        <v>249.89065428571431</v>
      </c>
      <c r="V81" s="8">
        <v>99.956261714285731</v>
      </c>
      <c r="W81" s="8">
        <v>31.489920000000001</v>
      </c>
      <c r="X81" s="15">
        <v>318.35699600000004</v>
      </c>
      <c r="Z81">
        <v>218.32</v>
      </c>
      <c r="AA81">
        <v>149.33000000000001</v>
      </c>
      <c r="AB81" t="s">
        <v>30</v>
      </c>
      <c r="AC81" t="s">
        <v>237</v>
      </c>
      <c r="AD81">
        <v>176.82</v>
      </c>
      <c r="AE81" t="s">
        <v>234</v>
      </c>
      <c r="AG81" t="s">
        <v>234</v>
      </c>
    </row>
    <row r="82" spans="1:35" x14ac:dyDescent="0.25">
      <c r="A82" s="16" t="s">
        <v>229</v>
      </c>
      <c r="B82" s="22" t="s">
        <v>232</v>
      </c>
      <c r="C82" s="17" t="s">
        <v>93</v>
      </c>
      <c r="D82" s="18">
        <v>127</v>
      </c>
      <c r="E82" s="18">
        <v>1</v>
      </c>
      <c r="F82" s="18">
        <v>15</v>
      </c>
      <c r="G82" s="18">
        <v>40</v>
      </c>
      <c r="H82" s="8">
        <v>1.27</v>
      </c>
      <c r="I82" s="8">
        <v>4</v>
      </c>
      <c r="J82" s="8">
        <v>132.27000000000001</v>
      </c>
      <c r="K82" s="8">
        <v>19.840500000000002</v>
      </c>
      <c r="L82" s="8">
        <v>0.6613500000000001</v>
      </c>
      <c r="M82" s="8">
        <v>22.915777500000001</v>
      </c>
      <c r="N82" s="8">
        <v>43.417627500000002</v>
      </c>
      <c r="O82" s="8">
        <v>6.3500000000000005</v>
      </c>
      <c r="P82" s="8">
        <v>4.2549999999999999</v>
      </c>
      <c r="Q82" s="8">
        <v>0.114885</v>
      </c>
      <c r="R82" s="8">
        <v>7.2334999999999997E-2</v>
      </c>
      <c r="S82" s="8">
        <v>0.98571428571428554</v>
      </c>
      <c r="T82" s="8">
        <v>5.4279342857142856</v>
      </c>
      <c r="U82" s="8">
        <v>182.19556178571429</v>
      </c>
      <c r="V82" s="8">
        <v>72.878224714285722</v>
      </c>
      <c r="W82" s="8">
        <v>22.915777500000001</v>
      </c>
      <c r="X82" s="15">
        <v>232.15800900000002</v>
      </c>
      <c r="Z82">
        <v>218.32</v>
      </c>
      <c r="AA82">
        <v>149.33000000000001</v>
      </c>
      <c r="AB82" t="s">
        <v>30</v>
      </c>
      <c r="AC82" t="s">
        <v>238</v>
      </c>
      <c r="AD82">
        <v>127.91</v>
      </c>
      <c r="AE82" t="s">
        <v>235</v>
      </c>
      <c r="AG82" t="s">
        <v>235</v>
      </c>
    </row>
    <row r="83" spans="1:35" x14ac:dyDescent="0.25">
      <c r="A83" s="13" t="s">
        <v>230</v>
      </c>
      <c r="B83" s="21" t="s">
        <v>233</v>
      </c>
      <c r="C83" s="14" t="s">
        <v>93</v>
      </c>
      <c r="D83" s="10">
        <v>167</v>
      </c>
      <c r="E83" s="10">
        <v>1</v>
      </c>
      <c r="F83" s="10">
        <v>15</v>
      </c>
      <c r="G83" s="10">
        <v>40</v>
      </c>
      <c r="H83" s="8">
        <v>1.67</v>
      </c>
      <c r="I83" s="8">
        <v>4</v>
      </c>
      <c r="J83" s="8">
        <v>172.67</v>
      </c>
      <c r="K83" s="8">
        <v>25.900499999999997</v>
      </c>
      <c r="L83" s="8">
        <v>0.86334999999999995</v>
      </c>
      <c r="M83" s="8">
        <v>29.915077499999995</v>
      </c>
      <c r="N83" s="8">
        <v>56.678927499999993</v>
      </c>
      <c r="O83" s="8">
        <v>8.35</v>
      </c>
      <c r="P83" s="8">
        <v>4.2549999999999999</v>
      </c>
      <c r="Q83" s="8">
        <v>0.114885</v>
      </c>
      <c r="R83" s="8">
        <v>7.2334999999999997E-2</v>
      </c>
      <c r="S83" s="8">
        <v>0.98571428571428554</v>
      </c>
      <c r="T83" s="8">
        <v>5.4279342857142856</v>
      </c>
      <c r="U83" s="8">
        <v>237.45686178571427</v>
      </c>
      <c r="V83" s="8">
        <v>94.982744714285715</v>
      </c>
      <c r="W83" s="8">
        <v>29.915077499999995</v>
      </c>
      <c r="X83" s="15">
        <v>302.52452899999997</v>
      </c>
      <c r="Z83">
        <v>250.3</v>
      </c>
      <c r="AA83">
        <v>165.2</v>
      </c>
      <c r="AB83" t="s">
        <v>30</v>
      </c>
      <c r="AC83" t="s">
        <v>239</v>
      </c>
      <c r="AD83">
        <v>167.69</v>
      </c>
      <c r="AE83" t="s">
        <v>236</v>
      </c>
      <c r="AG83" t="s">
        <v>236</v>
      </c>
    </row>
    <row r="84" spans="1:35" ht="8.1" customHeight="1" thickBot="1" x14ac:dyDescent="0.3"/>
    <row r="85" spans="1:35" x14ac:dyDescent="0.25">
      <c r="A85" s="30" t="s">
        <v>240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</row>
    <row r="86" spans="1:35" x14ac:dyDescent="0.25">
      <c r="A86" s="13" t="s">
        <v>242</v>
      </c>
      <c r="B86" s="14" t="s">
        <v>243</v>
      </c>
      <c r="C86" s="14" t="s">
        <v>93</v>
      </c>
      <c r="D86" s="10">
        <v>75</v>
      </c>
      <c r="E86" s="10">
        <v>1</v>
      </c>
      <c r="F86" s="10">
        <v>15</v>
      </c>
      <c r="G86" s="10">
        <v>20</v>
      </c>
      <c r="H86" s="8">
        <v>0.75</v>
      </c>
      <c r="I86" s="8">
        <v>4</v>
      </c>
      <c r="J86" s="8">
        <v>79.75</v>
      </c>
      <c r="K86" s="8">
        <v>11.9625</v>
      </c>
      <c r="L86" s="8">
        <v>0.39874999999999999</v>
      </c>
      <c r="M86" s="8">
        <v>13.816687500000002</v>
      </c>
      <c r="N86" s="8">
        <v>26.177937500000002</v>
      </c>
      <c r="O86" s="8">
        <v>3.75</v>
      </c>
      <c r="P86" s="8">
        <v>4.2549999999999999</v>
      </c>
      <c r="Q86" s="8">
        <v>0.114885</v>
      </c>
      <c r="R86" s="8">
        <v>7.2334999999999997E-2</v>
      </c>
      <c r="S86" s="8">
        <v>0.98571428571428554</v>
      </c>
      <c r="T86" s="8">
        <v>5.4279342857142856</v>
      </c>
      <c r="U86" s="8">
        <v>110.35587178571429</v>
      </c>
      <c r="V86" s="8">
        <v>22.071174357142858</v>
      </c>
      <c r="W86" s="8">
        <v>13.816687500000002</v>
      </c>
      <c r="X86" s="15">
        <v>118.61035864285714</v>
      </c>
      <c r="Z86">
        <v>225.78</v>
      </c>
      <c r="AA86">
        <v>154.44</v>
      </c>
      <c r="AB86" t="s">
        <v>30</v>
      </c>
      <c r="AC86" t="s">
        <v>247</v>
      </c>
      <c r="AD86">
        <v>136</v>
      </c>
      <c r="AE86" t="s">
        <v>245</v>
      </c>
      <c r="AF86">
        <v>75.010000000000005</v>
      </c>
      <c r="AG86" t="s">
        <v>245</v>
      </c>
    </row>
    <row r="87" spans="1:35" x14ac:dyDescent="0.25">
      <c r="A87" s="16" t="s">
        <v>241</v>
      </c>
      <c r="B87" s="17" t="s">
        <v>244</v>
      </c>
      <c r="C87" s="17" t="s">
        <v>93</v>
      </c>
      <c r="D87" s="18">
        <v>90</v>
      </c>
      <c r="E87" s="18">
        <v>1</v>
      </c>
      <c r="F87" s="18">
        <v>15</v>
      </c>
      <c r="G87" s="18">
        <v>20</v>
      </c>
      <c r="H87" s="8">
        <v>0.9</v>
      </c>
      <c r="I87" s="8">
        <v>4</v>
      </c>
      <c r="J87" s="8">
        <v>94.9</v>
      </c>
      <c r="K87" s="8">
        <v>14.235000000000001</v>
      </c>
      <c r="L87" s="8">
        <v>0.47450000000000003</v>
      </c>
      <c r="M87" s="8">
        <v>16.441425000000002</v>
      </c>
      <c r="N87" s="8">
        <v>31.150925000000004</v>
      </c>
      <c r="O87" s="8">
        <v>4.5</v>
      </c>
      <c r="P87" s="8">
        <v>4.2549999999999999</v>
      </c>
      <c r="Q87" s="8">
        <v>0.114885</v>
      </c>
      <c r="R87" s="8">
        <v>7.2334999999999997E-2</v>
      </c>
      <c r="S87" s="8">
        <v>0.98571428571428554</v>
      </c>
      <c r="T87" s="8">
        <v>5.4279342857142856</v>
      </c>
      <c r="U87" s="8">
        <v>131.07885928571429</v>
      </c>
      <c r="V87" s="8">
        <v>26.215771857142858</v>
      </c>
      <c r="W87" s="8">
        <v>16.441425000000002</v>
      </c>
      <c r="X87" s="15">
        <v>140.85320614285715</v>
      </c>
      <c r="Z87">
        <v>185</v>
      </c>
      <c r="AA87">
        <v>156</v>
      </c>
      <c r="AB87" t="s">
        <v>30</v>
      </c>
      <c r="AD87">
        <v>90</v>
      </c>
    </row>
    <row r="88" spans="1:35" x14ac:dyDescent="0.25">
      <c r="A88" s="13" t="s">
        <v>249</v>
      </c>
      <c r="B88" s="14" t="s">
        <v>250</v>
      </c>
      <c r="C88" s="14" t="s">
        <v>93</v>
      </c>
      <c r="D88" s="10">
        <v>200</v>
      </c>
      <c r="E88" s="10">
        <v>10</v>
      </c>
      <c r="F88" s="10">
        <v>15</v>
      </c>
      <c r="G88" s="10">
        <v>40</v>
      </c>
      <c r="H88" s="8">
        <v>2</v>
      </c>
      <c r="I88" s="8">
        <v>40</v>
      </c>
      <c r="J88" s="8">
        <v>242</v>
      </c>
      <c r="K88" s="8">
        <v>36.299999999999997</v>
      </c>
      <c r="L88" s="8">
        <v>1.21</v>
      </c>
      <c r="M88" s="8">
        <v>41.926499999999997</v>
      </c>
      <c r="N88" s="8">
        <v>79.436499999999995</v>
      </c>
      <c r="O88" s="8">
        <v>10</v>
      </c>
      <c r="P88" s="8">
        <v>42.55</v>
      </c>
      <c r="Q88" s="8">
        <v>1.1488499999999999</v>
      </c>
      <c r="R88" s="8">
        <v>0.72335000000000005</v>
      </c>
      <c r="S88" s="8">
        <v>9.8571428571428559</v>
      </c>
      <c r="T88" s="8">
        <v>54.279342857142858</v>
      </c>
      <c r="U88" s="8">
        <v>343.71584285714289</v>
      </c>
      <c r="V88" s="8">
        <v>137.48633714285717</v>
      </c>
      <c r="W88" s="8">
        <v>41.926499999999997</v>
      </c>
      <c r="X88" s="15">
        <v>439.27568000000008</v>
      </c>
      <c r="Z88">
        <v>242</v>
      </c>
      <c r="AA88">
        <v>164</v>
      </c>
      <c r="AB88" t="s">
        <v>30</v>
      </c>
      <c r="AC88" t="s">
        <v>248</v>
      </c>
      <c r="AD88">
        <v>110</v>
      </c>
      <c r="AE88" t="s">
        <v>246</v>
      </c>
      <c r="AF88">
        <v>93</v>
      </c>
      <c r="AG88" t="s">
        <v>246</v>
      </c>
    </row>
    <row r="89" spans="1:35" ht="8.1" customHeight="1" thickBot="1" x14ac:dyDescent="0.3"/>
    <row r="90" spans="1:35" x14ac:dyDescent="0.25">
      <c r="A90" s="30" t="s">
        <v>251</v>
      </c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</row>
    <row r="91" spans="1:35" x14ac:dyDescent="0.25">
      <c r="A91" s="13" t="s">
        <v>280</v>
      </c>
      <c r="B91" s="14" t="s">
        <v>252</v>
      </c>
      <c r="C91" s="14" t="s">
        <v>253</v>
      </c>
      <c r="D91" s="10">
        <v>30</v>
      </c>
      <c r="E91" s="10">
        <v>0.5</v>
      </c>
      <c r="F91" s="10">
        <v>0</v>
      </c>
      <c r="G91" s="10">
        <v>20</v>
      </c>
      <c r="H91" s="8">
        <v>0.3</v>
      </c>
      <c r="I91" s="8">
        <v>2</v>
      </c>
      <c r="J91" s="8">
        <v>32.299999999999997</v>
      </c>
      <c r="K91" s="8">
        <v>0</v>
      </c>
      <c r="L91" s="8">
        <v>0.16149999999999998</v>
      </c>
      <c r="M91" s="8">
        <v>4.8692249999999992</v>
      </c>
      <c r="N91" s="8">
        <v>5.0307249999999994</v>
      </c>
      <c r="O91" s="8">
        <v>1.5</v>
      </c>
      <c r="P91" s="8">
        <v>2.1274999999999999</v>
      </c>
      <c r="Q91" s="8">
        <v>5.7442500000000001E-2</v>
      </c>
      <c r="R91" s="8">
        <v>3.6167499999999998E-2</v>
      </c>
      <c r="S91" s="8">
        <v>0.49285714285714277</v>
      </c>
      <c r="T91" s="8">
        <v>2.7139671428571428</v>
      </c>
      <c r="U91" s="8">
        <v>39.24469214285714</v>
      </c>
      <c r="V91" s="8">
        <v>7.8489384285714285</v>
      </c>
      <c r="W91" s="8">
        <v>4.8692249999999992</v>
      </c>
      <c r="X91" s="15">
        <v>42.224405571428569</v>
      </c>
      <c r="AB91" t="s">
        <v>30</v>
      </c>
      <c r="AE91" t="s">
        <v>308</v>
      </c>
      <c r="AG91" t="s">
        <v>308</v>
      </c>
      <c r="AH91">
        <v>48.94</v>
      </c>
      <c r="AI91">
        <v>27.5</v>
      </c>
    </row>
    <row r="92" spans="1:35" x14ac:dyDescent="0.25">
      <c r="A92" s="16" t="s">
        <v>281</v>
      </c>
      <c r="B92" s="17" t="s">
        <v>254</v>
      </c>
      <c r="C92" s="17" t="s">
        <v>253</v>
      </c>
      <c r="D92" s="18">
        <v>30</v>
      </c>
      <c r="E92" s="18">
        <v>0.5</v>
      </c>
      <c r="F92" s="18">
        <v>0</v>
      </c>
      <c r="G92" s="18">
        <v>20</v>
      </c>
      <c r="H92" s="8">
        <v>0.3</v>
      </c>
      <c r="I92" s="8">
        <v>2</v>
      </c>
      <c r="J92" s="8">
        <v>32.299999999999997</v>
      </c>
      <c r="K92" s="8">
        <v>0</v>
      </c>
      <c r="L92" s="8">
        <v>0.16149999999999998</v>
      </c>
      <c r="M92" s="8">
        <v>4.8692249999999992</v>
      </c>
      <c r="N92" s="8">
        <v>5.0307249999999994</v>
      </c>
      <c r="O92" s="8">
        <v>1.5</v>
      </c>
      <c r="P92" s="8">
        <v>2.1274999999999999</v>
      </c>
      <c r="Q92" s="8">
        <v>5.7442500000000001E-2</v>
      </c>
      <c r="R92" s="8">
        <v>3.6167499999999998E-2</v>
      </c>
      <c r="S92" s="8">
        <v>0.49285714285714277</v>
      </c>
      <c r="T92" s="8">
        <v>2.7139671428571428</v>
      </c>
      <c r="U92" s="8">
        <v>39.24469214285714</v>
      </c>
      <c r="V92" s="8">
        <v>7.8489384285714285</v>
      </c>
      <c r="W92" s="8">
        <v>4.8692249999999992</v>
      </c>
      <c r="X92" s="15">
        <v>42.224405571428569</v>
      </c>
      <c r="AB92" t="s">
        <v>30</v>
      </c>
      <c r="AE92" t="s">
        <v>309</v>
      </c>
      <c r="AG92" t="s">
        <v>309</v>
      </c>
      <c r="AH92">
        <v>48.94</v>
      </c>
      <c r="AI92">
        <v>27.43</v>
      </c>
    </row>
    <row r="93" spans="1:35" x14ac:dyDescent="0.25">
      <c r="A93" s="23" t="s">
        <v>282</v>
      </c>
      <c r="B93" s="17" t="s">
        <v>255</v>
      </c>
      <c r="C93" s="17" t="s">
        <v>256</v>
      </c>
      <c r="D93" s="18">
        <v>144</v>
      </c>
      <c r="E93" s="18">
        <v>0.5</v>
      </c>
      <c r="F93" s="18">
        <v>5</v>
      </c>
      <c r="G93" s="18">
        <v>20</v>
      </c>
      <c r="H93" s="8">
        <v>1.44</v>
      </c>
      <c r="I93" s="8">
        <v>2</v>
      </c>
      <c r="J93" s="8">
        <v>147.44</v>
      </c>
      <c r="K93" s="8">
        <v>7.3719999999999999</v>
      </c>
      <c r="L93" s="8">
        <v>0.73719999999999997</v>
      </c>
      <c r="M93" s="8">
        <v>23.332380000000001</v>
      </c>
      <c r="N93" s="8">
        <v>31.441580000000002</v>
      </c>
      <c r="O93" s="8">
        <v>7.2</v>
      </c>
      <c r="P93" s="8">
        <v>2.1274999999999999</v>
      </c>
      <c r="Q93" s="8">
        <v>5.7442500000000001E-2</v>
      </c>
      <c r="R93" s="8">
        <v>3.6167499999999998E-2</v>
      </c>
      <c r="S93" s="8">
        <v>0.49285714285714277</v>
      </c>
      <c r="T93" s="8">
        <v>2.7139671428571428</v>
      </c>
      <c r="U93" s="8">
        <v>185.35554714285712</v>
      </c>
      <c r="V93" s="8">
        <v>37.071109428571425</v>
      </c>
      <c r="W93" s="8">
        <v>23.332380000000001</v>
      </c>
      <c r="X93" s="15">
        <v>199.09427657142854</v>
      </c>
      <c r="AB93" t="s">
        <v>30</v>
      </c>
      <c r="AE93" t="s">
        <v>310</v>
      </c>
      <c r="AG93" t="s">
        <v>310</v>
      </c>
      <c r="AH93">
        <v>144.30000000000001</v>
      </c>
    </row>
    <row r="94" spans="1:35" x14ac:dyDescent="0.25">
      <c r="A94" s="20" t="s">
        <v>283</v>
      </c>
      <c r="B94" s="14" t="s">
        <v>196</v>
      </c>
      <c r="C94" s="14" t="s">
        <v>47</v>
      </c>
      <c r="D94" s="10">
        <v>90</v>
      </c>
      <c r="E94" s="18">
        <v>80</v>
      </c>
      <c r="F94" s="10">
        <v>15</v>
      </c>
      <c r="G94" s="10">
        <v>20</v>
      </c>
      <c r="H94" s="8">
        <v>0.9</v>
      </c>
      <c r="I94" s="8">
        <v>320</v>
      </c>
      <c r="J94" s="8">
        <v>410.9</v>
      </c>
      <c r="K94" s="8">
        <v>61.634999999999991</v>
      </c>
      <c r="L94" s="8">
        <v>2.0545</v>
      </c>
      <c r="M94" s="8">
        <v>71.188424999999995</v>
      </c>
      <c r="N94" s="8">
        <v>134.87792499999998</v>
      </c>
      <c r="O94" s="8">
        <v>4.5</v>
      </c>
      <c r="P94" s="8">
        <v>340.4</v>
      </c>
      <c r="Q94" s="8">
        <v>9.1907999999999994</v>
      </c>
      <c r="R94" s="8">
        <v>5.7868000000000004</v>
      </c>
      <c r="S94" s="8">
        <v>78.857142857142847</v>
      </c>
      <c r="T94" s="8">
        <v>434.23474285714286</v>
      </c>
      <c r="U94" s="8">
        <v>663.61266785714281</v>
      </c>
      <c r="V94" s="8">
        <v>132.72253357142856</v>
      </c>
      <c r="W94" s="8">
        <v>71.188424999999995</v>
      </c>
      <c r="X94" s="15">
        <v>725.14677642857146</v>
      </c>
      <c r="AB94" t="s">
        <v>30</v>
      </c>
      <c r="AE94" t="s">
        <v>311</v>
      </c>
      <c r="AG94" t="s">
        <v>311</v>
      </c>
      <c r="AH94">
        <v>323.56</v>
      </c>
      <c r="AI94">
        <v>76</v>
      </c>
    </row>
    <row r="95" spans="1:35" x14ac:dyDescent="0.25">
      <c r="A95" s="23" t="s">
        <v>284</v>
      </c>
      <c r="B95" s="17" t="s">
        <v>257</v>
      </c>
      <c r="C95" s="17" t="s">
        <v>47</v>
      </c>
      <c r="D95" s="18">
        <v>20</v>
      </c>
      <c r="E95" s="18">
        <v>1</v>
      </c>
      <c r="F95" s="18">
        <v>15</v>
      </c>
      <c r="G95" s="18">
        <v>20</v>
      </c>
      <c r="H95" s="8">
        <v>0.2</v>
      </c>
      <c r="I95" s="8">
        <v>4</v>
      </c>
      <c r="J95" s="8">
        <v>24.2</v>
      </c>
      <c r="K95" s="8">
        <v>3.63</v>
      </c>
      <c r="L95" s="8">
        <v>0.121</v>
      </c>
      <c r="M95" s="8">
        <v>4.1926499999999995</v>
      </c>
      <c r="N95" s="8">
        <v>7.9436499999999999</v>
      </c>
      <c r="O95" s="8">
        <v>1</v>
      </c>
      <c r="P95" s="8">
        <v>4.2549999999999999</v>
      </c>
      <c r="Q95" s="8">
        <v>0.114885</v>
      </c>
      <c r="R95" s="8">
        <v>7.2334999999999997E-2</v>
      </c>
      <c r="S95" s="8">
        <v>0.98571428571428554</v>
      </c>
      <c r="T95" s="8">
        <v>5.4279342857142856</v>
      </c>
      <c r="U95" s="8">
        <v>34.371584285714285</v>
      </c>
      <c r="V95" s="8">
        <v>6.8743168571428575</v>
      </c>
      <c r="W95" s="8">
        <v>4.1926499999999995</v>
      </c>
      <c r="X95" s="15">
        <v>37.053251142857142</v>
      </c>
      <c r="AB95" t="s">
        <v>30</v>
      </c>
      <c r="AE95" t="s">
        <v>312</v>
      </c>
      <c r="AF95">
        <v>90</v>
      </c>
      <c r="AG95" t="s">
        <v>312</v>
      </c>
      <c r="AH95">
        <v>17.46</v>
      </c>
    </row>
    <row r="96" spans="1:35" ht="26.25" x14ac:dyDescent="0.25">
      <c r="A96" s="24" t="s">
        <v>285</v>
      </c>
      <c r="B96" s="14" t="s">
        <v>258</v>
      </c>
      <c r="C96" s="14" t="s">
        <v>201</v>
      </c>
      <c r="D96" s="10">
        <v>50</v>
      </c>
      <c r="E96" s="18">
        <v>12</v>
      </c>
      <c r="F96" s="10">
        <v>0</v>
      </c>
      <c r="G96" s="10">
        <v>20</v>
      </c>
      <c r="H96" s="8">
        <v>0.5</v>
      </c>
      <c r="I96" s="8">
        <v>48</v>
      </c>
      <c r="J96" s="8">
        <v>98.5</v>
      </c>
      <c r="K96" s="8">
        <v>0</v>
      </c>
      <c r="L96" s="8">
        <v>0.49249999999999999</v>
      </c>
      <c r="M96" s="8">
        <v>14.848875</v>
      </c>
      <c r="N96" s="8">
        <v>15.341374999999999</v>
      </c>
      <c r="O96" s="8">
        <v>2.5</v>
      </c>
      <c r="P96" s="8">
        <v>51.06</v>
      </c>
      <c r="Q96" s="8">
        <v>1.37862</v>
      </c>
      <c r="R96" s="8">
        <v>0.86802000000000012</v>
      </c>
      <c r="S96" s="8">
        <v>11.828571428571426</v>
      </c>
      <c r="T96" s="8">
        <v>65.135211428571424</v>
      </c>
      <c r="U96" s="8">
        <v>132.97658642857141</v>
      </c>
      <c r="V96" s="8">
        <v>26.595317285714284</v>
      </c>
      <c r="W96" s="8">
        <v>14.848875</v>
      </c>
      <c r="X96" s="15">
        <v>144.7230287142857</v>
      </c>
      <c r="AB96" t="s">
        <v>30</v>
      </c>
      <c r="AE96" t="s">
        <v>313</v>
      </c>
      <c r="AG96" t="s">
        <v>313</v>
      </c>
      <c r="AH96">
        <v>421.08</v>
      </c>
      <c r="AI96">
        <v>39.07</v>
      </c>
    </row>
    <row r="97" spans="1:35" x14ac:dyDescent="0.25">
      <c r="A97" s="23" t="s">
        <v>286</v>
      </c>
      <c r="B97" s="17" t="s">
        <v>259</v>
      </c>
      <c r="C97" s="17" t="s">
        <v>260</v>
      </c>
      <c r="D97" s="18">
        <v>35</v>
      </c>
      <c r="E97" s="18">
        <v>1</v>
      </c>
      <c r="F97" s="18">
        <v>0</v>
      </c>
      <c r="G97" s="18">
        <v>20</v>
      </c>
      <c r="H97" s="8">
        <v>0.35000000000000003</v>
      </c>
      <c r="I97" s="8">
        <v>4</v>
      </c>
      <c r="J97" s="8">
        <v>39.35</v>
      </c>
      <c r="K97" s="8">
        <v>0</v>
      </c>
      <c r="L97" s="8">
        <v>0.19675000000000001</v>
      </c>
      <c r="M97" s="8">
        <v>5.9320124999999999</v>
      </c>
      <c r="N97" s="8">
        <v>6.1287624999999997</v>
      </c>
      <c r="O97" s="8">
        <v>1.75</v>
      </c>
      <c r="P97" s="8">
        <v>4.2549999999999999</v>
      </c>
      <c r="Q97" s="8">
        <v>0.114885</v>
      </c>
      <c r="R97" s="8">
        <v>7.2334999999999997E-2</v>
      </c>
      <c r="S97" s="8">
        <v>0.98571428571428554</v>
      </c>
      <c r="T97" s="8">
        <v>5.4279342857142856</v>
      </c>
      <c r="U97" s="8">
        <v>48.306696785714287</v>
      </c>
      <c r="V97" s="8">
        <v>9.6613393571428574</v>
      </c>
      <c r="W97" s="8">
        <v>5.9320124999999999</v>
      </c>
      <c r="X97" s="15">
        <v>52.036023642857145</v>
      </c>
      <c r="AB97" t="s">
        <v>30</v>
      </c>
      <c r="AE97" t="s">
        <v>314</v>
      </c>
      <c r="AF97">
        <v>29.34</v>
      </c>
      <c r="AG97" t="s">
        <v>314</v>
      </c>
      <c r="AH97">
        <v>139.83000000000001</v>
      </c>
      <c r="AI97">
        <v>30.14</v>
      </c>
    </row>
    <row r="98" spans="1:35" x14ac:dyDescent="0.25">
      <c r="A98" s="20" t="s">
        <v>287</v>
      </c>
      <c r="B98" s="14" t="s">
        <v>261</v>
      </c>
      <c r="C98" s="19"/>
      <c r="D98" s="10">
        <v>60</v>
      </c>
      <c r="E98" s="18">
        <v>12</v>
      </c>
      <c r="F98" s="10"/>
      <c r="G98" s="10">
        <v>20</v>
      </c>
      <c r="H98" s="8">
        <v>0.6</v>
      </c>
      <c r="I98" s="8">
        <v>48</v>
      </c>
      <c r="J98" s="8">
        <v>108.6</v>
      </c>
      <c r="K98" s="8">
        <v>0</v>
      </c>
      <c r="L98" s="8">
        <v>0.54300000000000004</v>
      </c>
      <c r="M98" s="8">
        <v>16.371449999999999</v>
      </c>
      <c r="N98" s="8">
        <v>16.914449999999999</v>
      </c>
      <c r="O98" s="8">
        <v>3</v>
      </c>
      <c r="P98" s="8">
        <v>51.06</v>
      </c>
      <c r="Q98" s="8">
        <v>1.37862</v>
      </c>
      <c r="R98" s="8">
        <v>0.86802000000000012</v>
      </c>
      <c r="S98" s="8">
        <v>11.828571428571426</v>
      </c>
      <c r="T98" s="8">
        <v>65.135211428571424</v>
      </c>
      <c r="U98" s="8">
        <v>145.04966142857143</v>
      </c>
      <c r="V98" s="8">
        <v>29.009932285714285</v>
      </c>
      <c r="W98" s="8">
        <v>16.371449999999999</v>
      </c>
      <c r="X98" s="15">
        <v>157.6881437142857</v>
      </c>
      <c r="AB98" t="s">
        <v>30</v>
      </c>
      <c r="AE98" t="s">
        <v>315</v>
      </c>
      <c r="AF98">
        <v>17.27</v>
      </c>
      <c r="AG98" t="s">
        <v>315</v>
      </c>
      <c r="AH98">
        <v>331.13</v>
      </c>
      <c r="AI98">
        <v>53.99</v>
      </c>
    </row>
    <row r="99" spans="1:35" x14ac:dyDescent="0.25">
      <c r="A99" s="23" t="s">
        <v>288</v>
      </c>
      <c r="B99" s="17" t="s">
        <v>262</v>
      </c>
      <c r="C99" s="19"/>
      <c r="D99" s="18">
        <v>5</v>
      </c>
      <c r="E99" s="18">
        <v>0.5</v>
      </c>
      <c r="F99" s="18"/>
      <c r="G99" s="18">
        <v>20</v>
      </c>
      <c r="H99" s="8">
        <v>0.05</v>
      </c>
      <c r="I99" s="8">
        <v>2</v>
      </c>
      <c r="J99" s="8">
        <v>7.05</v>
      </c>
      <c r="K99" s="8">
        <v>0</v>
      </c>
      <c r="L99" s="8">
        <v>3.5249999999999997E-2</v>
      </c>
      <c r="M99" s="8">
        <v>1.0627874999999998</v>
      </c>
      <c r="N99" s="8">
        <v>1.0980374999999998</v>
      </c>
      <c r="O99" s="8">
        <v>0.25</v>
      </c>
      <c r="P99" s="8">
        <v>2.1274999999999999</v>
      </c>
      <c r="Q99" s="8">
        <v>5.7442500000000001E-2</v>
      </c>
      <c r="R99" s="8">
        <v>3.6167499999999998E-2</v>
      </c>
      <c r="S99" s="8">
        <v>0.49285714285714277</v>
      </c>
      <c r="T99" s="8">
        <v>2.7139671428571428</v>
      </c>
      <c r="U99" s="8">
        <v>9.0620046428571435</v>
      </c>
      <c r="V99" s="8">
        <v>1.8124009285714289</v>
      </c>
      <c r="W99" s="8">
        <v>1.0627874999999998</v>
      </c>
      <c r="X99" s="15">
        <v>9.8116180714285726</v>
      </c>
      <c r="AB99" t="s">
        <v>30</v>
      </c>
      <c r="AE99" t="s">
        <v>316</v>
      </c>
      <c r="AF99">
        <v>20.49</v>
      </c>
      <c r="AG99" t="s">
        <v>316</v>
      </c>
      <c r="AH99">
        <v>44.36</v>
      </c>
      <c r="AI99">
        <v>3.15</v>
      </c>
    </row>
    <row r="100" spans="1:35" x14ac:dyDescent="0.25">
      <c r="A100" s="20" t="s">
        <v>289</v>
      </c>
      <c r="B100" s="14" t="s">
        <v>263</v>
      </c>
      <c r="C100" s="14" t="s">
        <v>125</v>
      </c>
      <c r="D100" s="10">
        <v>85</v>
      </c>
      <c r="E100" s="18">
        <v>16</v>
      </c>
      <c r="F100" s="10">
        <v>0</v>
      </c>
      <c r="G100" s="10">
        <v>20</v>
      </c>
      <c r="H100" s="8">
        <v>0.85</v>
      </c>
      <c r="I100" s="8">
        <v>64</v>
      </c>
      <c r="J100" s="8">
        <v>149.85</v>
      </c>
      <c r="K100" s="8">
        <v>0</v>
      </c>
      <c r="L100" s="8">
        <v>0.74924999999999997</v>
      </c>
      <c r="M100" s="8">
        <v>22.589887499999996</v>
      </c>
      <c r="N100" s="8">
        <v>23.339137499999996</v>
      </c>
      <c r="O100" s="8">
        <v>4.25</v>
      </c>
      <c r="P100" s="8">
        <v>68.08</v>
      </c>
      <c r="Q100" s="8">
        <v>1.83816</v>
      </c>
      <c r="R100" s="8">
        <v>1.1573599999999999</v>
      </c>
      <c r="S100" s="8">
        <v>15.771428571428569</v>
      </c>
      <c r="T100" s="8">
        <v>86.84694857142857</v>
      </c>
      <c r="U100" s="8">
        <v>199.43608607142858</v>
      </c>
      <c r="V100" s="8">
        <v>39.88721721428572</v>
      </c>
      <c r="W100" s="8">
        <v>22.589887499999996</v>
      </c>
      <c r="X100" s="15">
        <v>216.7334157857143</v>
      </c>
      <c r="AB100" t="s">
        <v>30</v>
      </c>
      <c r="AE100" t="s">
        <v>317</v>
      </c>
      <c r="AG100" t="s">
        <v>317</v>
      </c>
      <c r="AH100">
        <v>225.13</v>
      </c>
      <c r="AI100">
        <v>78.650000000000006</v>
      </c>
    </row>
    <row r="101" spans="1:35" ht="26.25" x14ac:dyDescent="0.25">
      <c r="A101" s="25" t="s">
        <v>290</v>
      </c>
      <c r="B101" s="17" t="s">
        <v>148</v>
      </c>
      <c r="C101" s="17" t="s">
        <v>125</v>
      </c>
      <c r="D101" s="18">
        <v>85</v>
      </c>
      <c r="E101" s="18">
        <v>16</v>
      </c>
      <c r="F101" s="18">
        <v>0</v>
      </c>
      <c r="G101" s="18">
        <v>20</v>
      </c>
      <c r="H101" s="8">
        <v>0.85</v>
      </c>
      <c r="I101" s="8">
        <v>64</v>
      </c>
      <c r="J101" s="8">
        <v>149.85</v>
      </c>
      <c r="K101" s="8">
        <v>0</v>
      </c>
      <c r="L101" s="8">
        <v>0.74924999999999997</v>
      </c>
      <c r="M101" s="8">
        <v>22.589887499999996</v>
      </c>
      <c r="N101" s="8">
        <v>23.339137499999996</v>
      </c>
      <c r="O101" s="8">
        <v>4.25</v>
      </c>
      <c r="P101" s="8">
        <v>68.08</v>
      </c>
      <c r="Q101" s="8">
        <v>1.83816</v>
      </c>
      <c r="R101" s="8">
        <v>1.1573599999999999</v>
      </c>
      <c r="S101" s="8">
        <v>15.771428571428569</v>
      </c>
      <c r="T101" s="8">
        <v>86.84694857142857</v>
      </c>
      <c r="U101" s="8">
        <v>199.43608607142858</v>
      </c>
      <c r="V101" s="8">
        <v>39.88721721428572</v>
      </c>
      <c r="W101" s="8">
        <v>22.589887499999996</v>
      </c>
      <c r="X101" s="15">
        <v>216.7334157857143</v>
      </c>
      <c r="AB101" t="s">
        <v>30</v>
      </c>
      <c r="AE101" t="s">
        <v>318</v>
      </c>
      <c r="AG101" t="s">
        <v>318</v>
      </c>
      <c r="AH101">
        <v>301.24</v>
      </c>
      <c r="AI101">
        <v>81.739999999999995</v>
      </c>
    </row>
    <row r="102" spans="1:35" x14ac:dyDescent="0.25">
      <c r="A102" s="20" t="s">
        <v>291</v>
      </c>
      <c r="B102" s="14" t="s">
        <v>264</v>
      </c>
      <c r="C102" s="14" t="s">
        <v>201</v>
      </c>
      <c r="D102" s="10">
        <v>7</v>
      </c>
      <c r="E102" s="18">
        <v>0.5</v>
      </c>
      <c r="F102" s="10">
        <v>0</v>
      </c>
      <c r="G102" s="10">
        <v>20</v>
      </c>
      <c r="H102" s="8">
        <v>7.0000000000000007E-2</v>
      </c>
      <c r="I102" s="8">
        <v>2</v>
      </c>
      <c r="J102" s="8">
        <v>9.07</v>
      </c>
      <c r="K102" s="8">
        <v>0</v>
      </c>
      <c r="L102" s="8">
        <v>4.5350000000000001E-2</v>
      </c>
      <c r="M102" s="8">
        <v>1.3673024999999999</v>
      </c>
      <c r="N102" s="8">
        <v>1.4126524999999999</v>
      </c>
      <c r="O102" s="8">
        <v>0.35000000000000003</v>
      </c>
      <c r="P102" s="8">
        <v>2.1274999999999999</v>
      </c>
      <c r="Q102" s="8">
        <v>5.7442500000000001E-2</v>
      </c>
      <c r="R102" s="8">
        <v>3.6167499999999998E-2</v>
      </c>
      <c r="S102" s="8">
        <v>0.49285714285714277</v>
      </c>
      <c r="T102" s="8">
        <v>2.7139671428571428</v>
      </c>
      <c r="U102" s="8">
        <v>11.476619642857143</v>
      </c>
      <c r="V102" s="8">
        <v>2.2953239285714289</v>
      </c>
      <c r="W102" s="8">
        <v>1.3673024999999999</v>
      </c>
      <c r="X102" s="15">
        <v>12.404641071428573</v>
      </c>
      <c r="AB102" t="s">
        <v>30</v>
      </c>
      <c r="AE102" t="s">
        <v>319</v>
      </c>
      <c r="AF102">
        <v>23.49</v>
      </c>
      <c r="AG102" t="s">
        <v>319</v>
      </c>
      <c r="AH102">
        <v>30.38</v>
      </c>
      <c r="AI102">
        <v>5</v>
      </c>
    </row>
    <row r="103" spans="1:35" x14ac:dyDescent="0.25">
      <c r="A103" s="23" t="s">
        <v>292</v>
      </c>
      <c r="B103" s="17" t="s">
        <v>265</v>
      </c>
      <c r="C103" s="17" t="s">
        <v>41</v>
      </c>
      <c r="D103" s="18">
        <v>65</v>
      </c>
      <c r="E103" s="18">
        <v>25</v>
      </c>
      <c r="F103" s="18">
        <v>15</v>
      </c>
      <c r="G103" s="18">
        <v>20</v>
      </c>
      <c r="H103" s="8">
        <v>0.65</v>
      </c>
      <c r="I103" s="8">
        <v>100</v>
      </c>
      <c r="J103" s="8">
        <v>165.65</v>
      </c>
      <c r="K103" s="8">
        <v>24.8475</v>
      </c>
      <c r="L103" s="8">
        <v>0.82825000000000004</v>
      </c>
      <c r="M103" s="8">
        <v>28.698862500000001</v>
      </c>
      <c r="N103" s="8">
        <v>54.374612499999998</v>
      </c>
      <c r="O103" s="8">
        <v>3.25</v>
      </c>
      <c r="P103" s="8">
        <v>106.37499999999999</v>
      </c>
      <c r="Q103" s="8">
        <v>2.8721249999999996</v>
      </c>
      <c r="R103" s="8">
        <v>1.8083749999999998</v>
      </c>
      <c r="S103" s="8">
        <v>24.642857142857139</v>
      </c>
      <c r="T103" s="8">
        <v>135.69835714285711</v>
      </c>
      <c r="U103" s="8">
        <v>258.32296964285712</v>
      </c>
      <c r="V103" s="8">
        <v>51.664593928571428</v>
      </c>
      <c r="W103" s="8">
        <v>28.698862500000001</v>
      </c>
      <c r="X103" s="15">
        <v>281.28870107142853</v>
      </c>
      <c r="AB103" t="s">
        <v>30</v>
      </c>
      <c r="AD103">
        <v>18.47</v>
      </c>
      <c r="AE103" t="s">
        <v>320</v>
      </c>
      <c r="AF103">
        <v>67.95</v>
      </c>
      <c r="AG103" t="s">
        <v>320</v>
      </c>
      <c r="AH103">
        <v>221.19</v>
      </c>
      <c r="AI103">
        <v>50.17</v>
      </c>
    </row>
    <row r="104" spans="1:35" ht="26.25" x14ac:dyDescent="0.25">
      <c r="A104" s="24" t="s">
        <v>293</v>
      </c>
      <c r="B104" s="14" t="s">
        <v>266</v>
      </c>
      <c r="C104" s="14" t="s">
        <v>90</v>
      </c>
      <c r="D104" s="10">
        <v>65</v>
      </c>
      <c r="E104" s="18">
        <v>25</v>
      </c>
      <c r="F104" s="10">
        <v>15</v>
      </c>
      <c r="G104" s="10">
        <v>20</v>
      </c>
      <c r="H104" s="8">
        <v>0.65</v>
      </c>
      <c r="I104" s="8">
        <v>100</v>
      </c>
      <c r="J104" s="8">
        <v>165.65</v>
      </c>
      <c r="K104" s="8">
        <v>24.8475</v>
      </c>
      <c r="L104" s="8">
        <v>0.82825000000000004</v>
      </c>
      <c r="M104" s="8">
        <v>28.698862500000001</v>
      </c>
      <c r="N104" s="8">
        <v>54.374612499999998</v>
      </c>
      <c r="O104" s="8">
        <v>3.25</v>
      </c>
      <c r="P104" s="8">
        <v>106.37499999999999</v>
      </c>
      <c r="Q104" s="8">
        <v>2.8721249999999996</v>
      </c>
      <c r="R104" s="8">
        <v>1.8083749999999998</v>
      </c>
      <c r="S104" s="8">
        <v>24.642857142857139</v>
      </c>
      <c r="T104" s="8">
        <v>135.69835714285711</v>
      </c>
      <c r="U104" s="8">
        <v>258.32296964285712</v>
      </c>
      <c r="V104" s="8">
        <v>51.664593928571428</v>
      </c>
      <c r="W104" s="8">
        <v>28.698862500000001</v>
      </c>
      <c r="X104" s="15">
        <v>281.28870107142853</v>
      </c>
      <c r="AB104" t="s">
        <v>30</v>
      </c>
      <c r="AE104" t="s">
        <v>321</v>
      </c>
      <c r="AF104">
        <v>731.12</v>
      </c>
      <c r="AG104" t="s">
        <v>321</v>
      </c>
      <c r="AH104">
        <v>222.28</v>
      </c>
      <c r="AI104">
        <v>51.26</v>
      </c>
    </row>
    <row r="105" spans="1:35" x14ac:dyDescent="0.25">
      <c r="A105" s="23" t="s">
        <v>294</v>
      </c>
      <c r="B105" s="17" t="s">
        <v>267</v>
      </c>
      <c r="C105" s="17" t="s">
        <v>268</v>
      </c>
      <c r="D105" s="18">
        <v>65</v>
      </c>
      <c r="E105" s="18">
        <v>2</v>
      </c>
      <c r="F105" s="18">
        <v>5</v>
      </c>
      <c r="G105" s="18">
        <v>20</v>
      </c>
      <c r="H105" s="8">
        <v>0.65</v>
      </c>
      <c r="I105" s="8">
        <v>8</v>
      </c>
      <c r="J105" s="8">
        <v>73.650000000000006</v>
      </c>
      <c r="K105" s="8">
        <v>3.6825000000000006</v>
      </c>
      <c r="L105" s="8">
        <v>0.36825000000000002</v>
      </c>
      <c r="M105" s="8">
        <v>11.655112500000001</v>
      </c>
      <c r="N105" s="8">
        <v>15.705862500000002</v>
      </c>
      <c r="O105" s="8">
        <v>3.25</v>
      </c>
      <c r="P105" s="8">
        <v>8.51</v>
      </c>
      <c r="Q105" s="8">
        <v>0.22977</v>
      </c>
      <c r="R105" s="8">
        <v>0.14466999999999999</v>
      </c>
      <c r="S105" s="8">
        <v>1.9714285714285711</v>
      </c>
      <c r="T105" s="8">
        <v>10.855868571428571</v>
      </c>
      <c r="U105" s="8">
        <v>94.811731071428568</v>
      </c>
      <c r="V105" s="8">
        <v>18.962346214285713</v>
      </c>
      <c r="W105" s="8">
        <v>11.655112500000001</v>
      </c>
      <c r="X105" s="15">
        <v>102.11896478571428</v>
      </c>
      <c r="AB105" t="s">
        <v>30</v>
      </c>
      <c r="AE105" t="s">
        <v>322</v>
      </c>
      <c r="AG105" t="s">
        <v>322</v>
      </c>
      <c r="AH105">
        <v>535.55999999999995</v>
      </c>
      <c r="AI105">
        <v>49.01</v>
      </c>
    </row>
    <row r="106" spans="1:35" x14ac:dyDescent="0.25">
      <c r="A106" s="20" t="s">
        <v>295</v>
      </c>
      <c r="B106" s="14" t="s">
        <v>269</v>
      </c>
      <c r="C106" s="14" t="s">
        <v>41</v>
      </c>
      <c r="D106" s="10">
        <v>70</v>
      </c>
      <c r="E106" s="18">
        <v>35</v>
      </c>
      <c r="F106" s="10">
        <v>15</v>
      </c>
      <c r="G106" s="10">
        <v>20</v>
      </c>
      <c r="H106" s="8">
        <v>0.70000000000000007</v>
      </c>
      <c r="I106" s="8">
        <v>140</v>
      </c>
      <c r="J106" s="8">
        <v>210.7</v>
      </c>
      <c r="K106" s="8">
        <v>31.604999999999997</v>
      </c>
      <c r="L106" s="8">
        <v>1.0534999999999999</v>
      </c>
      <c r="M106" s="8">
        <v>36.503774999999997</v>
      </c>
      <c r="N106" s="8">
        <v>69.162274999999994</v>
      </c>
      <c r="O106" s="8">
        <v>3.5</v>
      </c>
      <c r="P106" s="8">
        <v>148.92499999999998</v>
      </c>
      <c r="Q106" s="8">
        <v>4.0209749999999991</v>
      </c>
      <c r="R106" s="8">
        <v>2.5317249999999998</v>
      </c>
      <c r="S106" s="8">
        <v>34.5</v>
      </c>
      <c r="T106" s="8">
        <v>189.97769999999997</v>
      </c>
      <c r="U106" s="8">
        <v>332.63997499999994</v>
      </c>
      <c r="V106" s="8">
        <v>66.52799499999999</v>
      </c>
      <c r="W106" s="8">
        <v>36.503774999999997</v>
      </c>
      <c r="X106" s="15">
        <v>362.66419499999989</v>
      </c>
      <c r="AB106" t="s">
        <v>30</v>
      </c>
      <c r="AE106" t="s">
        <v>323</v>
      </c>
      <c r="AG106" t="s">
        <v>323</v>
      </c>
      <c r="AH106">
        <v>72.8</v>
      </c>
      <c r="AI106">
        <v>12.54</v>
      </c>
    </row>
    <row r="107" spans="1:35" x14ac:dyDescent="0.25">
      <c r="A107" s="23" t="s">
        <v>296</v>
      </c>
      <c r="B107" s="17" t="s">
        <v>270</v>
      </c>
      <c r="C107" s="17" t="s">
        <v>41</v>
      </c>
      <c r="D107" s="18">
        <v>70</v>
      </c>
      <c r="E107" s="18">
        <v>35</v>
      </c>
      <c r="F107" s="18">
        <v>15</v>
      </c>
      <c r="G107" s="18">
        <v>20</v>
      </c>
      <c r="H107" s="8">
        <v>0.70000000000000007</v>
      </c>
      <c r="I107" s="8">
        <v>140</v>
      </c>
      <c r="J107" s="8">
        <v>210.7</v>
      </c>
      <c r="K107" s="8">
        <v>31.604999999999997</v>
      </c>
      <c r="L107" s="8">
        <v>1.0534999999999999</v>
      </c>
      <c r="M107" s="8">
        <v>36.503774999999997</v>
      </c>
      <c r="N107" s="8">
        <v>69.162274999999994</v>
      </c>
      <c r="O107" s="8">
        <v>3.5</v>
      </c>
      <c r="P107" s="8">
        <v>148.92499999999998</v>
      </c>
      <c r="Q107" s="8">
        <v>4.0209749999999991</v>
      </c>
      <c r="R107" s="8">
        <v>2.5317249999999998</v>
      </c>
      <c r="S107" s="8">
        <v>34.5</v>
      </c>
      <c r="T107" s="8">
        <v>189.97769999999997</v>
      </c>
      <c r="U107" s="8">
        <v>332.63997499999994</v>
      </c>
      <c r="V107" s="8">
        <v>66.52799499999999</v>
      </c>
      <c r="W107" s="8">
        <v>36.503774999999997</v>
      </c>
      <c r="X107" s="15">
        <v>362.66419499999989</v>
      </c>
      <c r="AB107" t="s">
        <v>30</v>
      </c>
      <c r="AE107" t="s">
        <v>324</v>
      </c>
      <c r="AF107">
        <v>29.46</v>
      </c>
      <c r="AG107" t="s">
        <v>324</v>
      </c>
      <c r="AH107">
        <v>72.8</v>
      </c>
      <c r="AI107">
        <v>24.32</v>
      </c>
    </row>
    <row r="108" spans="1:35" ht="26.25" x14ac:dyDescent="0.25">
      <c r="A108" s="24" t="s">
        <v>297</v>
      </c>
      <c r="B108" s="14" t="s">
        <v>271</v>
      </c>
      <c r="C108" s="14" t="s">
        <v>93</v>
      </c>
      <c r="D108" s="10">
        <v>125</v>
      </c>
      <c r="E108" s="18">
        <v>25</v>
      </c>
      <c r="F108" s="10">
        <v>15</v>
      </c>
      <c r="G108" s="10">
        <v>20</v>
      </c>
      <c r="H108" s="8">
        <v>1.25</v>
      </c>
      <c r="I108" s="8">
        <v>100</v>
      </c>
      <c r="J108" s="8">
        <v>226.25</v>
      </c>
      <c r="K108" s="8">
        <v>33.9375</v>
      </c>
      <c r="L108" s="8">
        <v>1.1312500000000001</v>
      </c>
      <c r="M108" s="8">
        <v>39.197812500000005</v>
      </c>
      <c r="N108" s="8">
        <v>74.266562500000006</v>
      </c>
      <c r="O108" s="8">
        <v>6.25</v>
      </c>
      <c r="P108" s="8">
        <v>106.37499999999999</v>
      </c>
      <c r="Q108" s="8">
        <v>2.8721249999999996</v>
      </c>
      <c r="R108" s="8">
        <v>1.8083749999999998</v>
      </c>
      <c r="S108" s="8">
        <v>24.642857142857139</v>
      </c>
      <c r="T108" s="8">
        <v>135.69835714285711</v>
      </c>
      <c r="U108" s="8">
        <v>341.21491964285713</v>
      </c>
      <c r="V108" s="8">
        <v>68.242983928571434</v>
      </c>
      <c r="W108" s="8">
        <v>39.197812500000005</v>
      </c>
      <c r="X108" s="15">
        <v>370.26009107142858</v>
      </c>
      <c r="AB108" t="s">
        <v>30</v>
      </c>
      <c r="AE108" t="s">
        <v>325</v>
      </c>
      <c r="AG108" t="s">
        <v>325</v>
      </c>
      <c r="AH108">
        <v>117.18</v>
      </c>
    </row>
    <row r="109" spans="1:35" ht="26.25" x14ac:dyDescent="0.25">
      <c r="A109" s="25" t="s">
        <v>298</v>
      </c>
      <c r="B109" s="17" t="s">
        <v>300</v>
      </c>
      <c r="C109" s="17" t="s">
        <v>272</v>
      </c>
      <c r="D109" s="18">
        <v>340</v>
      </c>
      <c r="E109" s="18">
        <v>25</v>
      </c>
      <c r="F109" s="18">
        <v>0</v>
      </c>
      <c r="G109" s="18">
        <v>20</v>
      </c>
      <c r="H109" s="8">
        <v>3.4</v>
      </c>
      <c r="I109" s="8">
        <v>100</v>
      </c>
      <c r="J109" s="8">
        <v>443.4</v>
      </c>
      <c r="K109" s="8">
        <v>0</v>
      </c>
      <c r="L109" s="8">
        <v>2.2170000000000001</v>
      </c>
      <c r="M109" s="8">
        <v>66.842549999999989</v>
      </c>
      <c r="N109" s="8">
        <v>69.059549999999987</v>
      </c>
      <c r="O109" s="8">
        <v>17</v>
      </c>
      <c r="P109" s="8">
        <v>106.37499999999999</v>
      </c>
      <c r="Q109" s="8">
        <v>2.8721249999999996</v>
      </c>
      <c r="R109" s="8">
        <v>1.8083749999999998</v>
      </c>
      <c r="S109" s="8">
        <v>24.642857142857139</v>
      </c>
      <c r="T109" s="8">
        <v>135.69835714285711</v>
      </c>
      <c r="U109" s="8">
        <v>561.75790714285711</v>
      </c>
      <c r="V109" s="8">
        <v>112.35158142857142</v>
      </c>
      <c r="W109" s="8">
        <v>66.842549999999989</v>
      </c>
      <c r="X109" s="15">
        <v>607.26693857142857</v>
      </c>
      <c r="AB109" t="s">
        <v>30</v>
      </c>
      <c r="AE109" t="s">
        <v>326</v>
      </c>
      <c r="AG109" t="s">
        <v>326</v>
      </c>
      <c r="AH109">
        <v>160.91999999999999</v>
      </c>
    </row>
    <row r="110" spans="1:35" ht="26.25" x14ac:dyDescent="0.25">
      <c r="A110" s="24" t="s">
        <v>299</v>
      </c>
      <c r="B110" s="14" t="s">
        <v>301</v>
      </c>
      <c r="C110" s="14" t="s">
        <v>41</v>
      </c>
      <c r="D110" s="10">
        <v>140</v>
      </c>
      <c r="E110" s="18">
        <v>200</v>
      </c>
      <c r="F110" s="10">
        <v>15</v>
      </c>
      <c r="G110" s="10">
        <v>20</v>
      </c>
      <c r="H110" s="8">
        <v>1.4000000000000001</v>
      </c>
      <c r="I110" s="8">
        <v>800</v>
      </c>
      <c r="J110" s="8">
        <v>941.4</v>
      </c>
      <c r="K110" s="8">
        <v>141.20999999999998</v>
      </c>
      <c r="L110" s="8">
        <v>4.7069999999999999</v>
      </c>
      <c r="M110" s="8">
        <v>163.09754999999998</v>
      </c>
      <c r="N110" s="8">
        <v>309.01454999999999</v>
      </c>
      <c r="O110" s="8">
        <v>7</v>
      </c>
      <c r="P110" s="8">
        <v>850.99999999999989</v>
      </c>
      <c r="Q110" s="8">
        <v>22.976999999999997</v>
      </c>
      <c r="R110" s="8">
        <v>14.466999999999999</v>
      </c>
      <c r="S110" s="8">
        <v>197.14285714285711</v>
      </c>
      <c r="T110" s="8">
        <v>1085.5868571428568</v>
      </c>
      <c r="U110" s="8">
        <v>1541.6014071428567</v>
      </c>
      <c r="V110" s="8">
        <v>308.32028142857138</v>
      </c>
      <c r="W110" s="8">
        <v>163.09754999999998</v>
      </c>
      <c r="X110" s="15">
        <v>1686.8241385714282</v>
      </c>
      <c r="AB110" t="s">
        <v>30</v>
      </c>
      <c r="AE110" t="s">
        <v>327</v>
      </c>
      <c r="AF110">
        <v>81.099999999999994</v>
      </c>
      <c r="AG110" t="s">
        <v>327</v>
      </c>
      <c r="AH110">
        <v>191.67</v>
      </c>
      <c r="AI110">
        <v>43.77</v>
      </c>
    </row>
    <row r="111" spans="1:35" x14ac:dyDescent="0.25">
      <c r="A111" s="23" t="s">
        <v>302</v>
      </c>
      <c r="B111" s="17" t="s">
        <v>42</v>
      </c>
      <c r="C111" s="19"/>
      <c r="D111" s="18">
        <v>300</v>
      </c>
      <c r="E111" s="18">
        <v>45</v>
      </c>
      <c r="F111" s="18"/>
      <c r="G111" s="18">
        <v>20</v>
      </c>
      <c r="H111" s="8">
        <v>3</v>
      </c>
      <c r="I111" s="8">
        <v>180</v>
      </c>
      <c r="J111" s="8">
        <v>483</v>
      </c>
      <c r="K111" s="8">
        <v>0</v>
      </c>
      <c r="L111" s="8">
        <v>2.415</v>
      </c>
      <c r="M111" s="8">
        <v>72.812250000000006</v>
      </c>
      <c r="N111" s="8">
        <v>75.227250000000012</v>
      </c>
      <c r="O111" s="8">
        <v>15</v>
      </c>
      <c r="P111" s="8">
        <v>191.47499999999999</v>
      </c>
      <c r="Q111" s="8">
        <v>5.1698249999999994</v>
      </c>
      <c r="R111" s="8">
        <v>3.2550750000000002</v>
      </c>
      <c r="S111" s="8">
        <v>44.357142857142854</v>
      </c>
      <c r="T111" s="8">
        <v>244.25704285714286</v>
      </c>
      <c r="U111" s="8">
        <v>634.48429285714292</v>
      </c>
      <c r="V111" s="8">
        <v>126.8968585714286</v>
      </c>
      <c r="W111" s="8">
        <v>72.812250000000006</v>
      </c>
      <c r="X111" s="15">
        <v>688.56890142857151</v>
      </c>
      <c r="AB111" t="s">
        <v>30</v>
      </c>
      <c r="AE111" t="s">
        <v>328</v>
      </c>
      <c r="AG111" t="s">
        <v>328</v>
      </c>
      <c r="AH111">
        <v>248.68</v>
      </c>
    </row>
    <row r="112" spans="1:35" x14ac:dyDescent="0.25">
      <c r="A112" s="20" t="s">
        <v>303</v>
      </c>
      <c r="B112" s="14" t="s">
        <v>273</v>
      </c>
      <c r="C112" s="14" t="s">
        <v>274</v>
      </c>
      <c r="D112" s="10">
        <v>65</v>
      </c>
      <c r="E112" s="18">
        <v>12</v>
      </c>
      <c r="F112" s="10">
        <v>0</v>
      </c>
      <c r="G112" s="10">
        <v>20</v>
      </c>
      <c r="H112" s="8">
        <v>0.65</v>
      </c>
      <c r="I112" s="8">
        <v>48</v>
      </c>
      <c r="J112" s="8">
        <v>113.65</v>
      </c>
      <c r="K112" s="8">
        <v>0</v>
      </c>
      <c r="L112" s="8">
        <v>0.56825000000000003</v>
      </c>
      <c r="M112" s="8">
        <v>17.132737500000001</v>
      </c>
      <c r="N112" s="8">
        <v>17.7009875</v>
      </c>
      <c r="O112" s="8">
        <v>3.25</v>
      </c>
      <c r="P112" s="8">
        <v>51.06</v>
      </c>
      <c r="Q112" s="8">
        <v>1.37862</v>
      </c>
      <c r="R112" s="8">
        <v>0.86802000000000012</v>
      </c>
      <c r="S112" s="8">
        <v>11.828571428571426</v>
      </c>
      <c r="T112" s="8">
        <v>65.135211428571424</v>
      </c>
      <c r="U112" s="8">
        <v>151.08619892857143</v>
      </c>
      <c r="V112" s="8">
        <v>30.217239785714288</v>
      </c>
      <c r="W112" s="8">
        <v>17.132737500000001</v>
      </c>
      <c r="X112" s="15">
        <v>164.17070121428574</v>
      </c>
      <c r="AB112" t="s">
        <v>30</v>
      </c>
      <c r="AE112" t="s">
        <v>329</v>
      </c>
      <c r="AF112">
        <v>173.77</v>
      </c>
      <c r="AG112" t="s">
        <v>329</v>
      </c>
      <c r="AH112">
        <v>478.42</v>
      </c>
      <c r="AI112">
        <v>48.95</v>
      </c>
    </row>
    <row r="113" spans="1:35" ht="26.25" x14ac:dyDescent="0.25">
      <c r="A113" s="24" t="s">
        <v>304</v>
      </c>
      <c r="B113" s="14" t="s">
        <v>275</v>
      </c>
      <c r="C113" s="14" t="s">
        <v>41</v>
      </c>
      <c r="D113" s="10">
        <v>10</v>
      </c>
      <c r="E113" s="18">
        <v>0.5</v>
      </c>
      <c r="F113" s="10">
        <v>15</v>
      </c>
      <c r="G113" s="10">
        <v>20</v>
      </c>
      <c r="H113" s="8">
        <v>0.1</v>
      </c>
      <c r="I113" s="8">
        <v>2</v>
      </c>
      <c r="J113" s="8">
        <v>12.1</v>
      </c>
      <c r="K113" s="8">
        <v>1.8149999999999999</v>
      </c>
      <c r="L113" s="8">
        <v>6.0499999999999998E-2</v>
      </c>
      <c r="M113" s="8">
        <v>2.0963249999999998</v>
      </c>
      <c r="N113" s="8">
        <v>3.9718249999999999</v>
      </c>
      <c r="O113" s="8">
        <v>0.5</v>
      </c>
      <c r="P113" s="8">
        <v>2.1274999999999999</v>
      </c>
      <c r="Q113" s="8">
        <v>5.7442500000000001E-2</v>
      </c>
      <c r="R113" s="8">
        <v>3.6167499999999998E-2</v>
      </c>
      <c r="S113" s="8">
        <v>0.49285714285714277</v>
      </c>
      <c r="T113" s="8">
        <v>2.7139671428571428</v>
      </c>
      <c r="U113" s="8">
        <v>17.185792142857142</v>
      </c>
      <c r="V113" s="8">
        <v>3.4371584285714287</v>
      </c>
      <c r="W113" s="8">
        <v>2.0963249999999998</v>
      </c>
      <c r="X113" s="15">
        <v>18.526625571428571</v>
      </c>
      <c r="AB113" t="s">
        <v>30</v>
      </c>
      <c r="AE113" t="s">
        <v>330</v>
      </c>
      <c r="AG113" t="s">
        <v>330</v>
      </c>
      <c r="AH113">
        <v>39.65</v>
      </c>
      <c r="AI113">
        <v>7.92</v>
      </c>
    </row>
    <row r="114" spans="1:35" x14ac:dyDescent="0.25">
      <c r="A114" s="25" t="s">
        <v>305</v>
      </c>
      <c r="B114" s="17" t="s">
        <v>276</v>
      </c>
      <c r="C114" s="17" t="s">
        <v>41</v>
      </c>
      <c r="D114" s="18">
        <v>10</v>
      </c>
      <c r="E114" s="18">
        <v>0.5</v>
      </c>
      <c r="F114" s="18">
        <v>15</v>
      </c>
      <c r="G114" s="18">
        <v>20</v>
      </c>
      <c r="H114" s="8">
        <v>0.1</v>
      </c>
      <c r="I114" s="8">
        <v>2</v>
      </c>
      <c r="J114" s="8">
        <v>12.1</v>
      </c>
      <c r="K114" s="8">
        <v>1.8149999999999999</v>
      </c>
      <c r="L114" s="8">
        <v>6.0499999999999998E-2</v>
      </c>
      <c r="M114" s="8">
        <v>2.0963249999999998</v>
      </c>
      <c r="N114" s="8">
        <v>3.9718249999999999</v>
      </c>
      <c r="O114" s="8">
        <v>0.5</v>
      </c>
      <c r="P114" s="8">
        <v>2.1274999999999999</v>
      </c>
      <c r="Q114" s="8">
        <v>5.7442500000000001E-2</v>
      </c>
      <c r="R114" s="8">
        <v>3.6167499999999998E-2</v>
      </c>
      <c r="S114" s="8">
        <v>0.49285714285714277</v>
      </c>
      <c r="T114" s="8">
        <v>2.7139671428571428</v>
      </c>
      <c r="U114" s="8">
        <v>17.185792142857142</v>
      </c>
      <c r="V114" s="8">
        <v>3.4371584285714287</v>
      </c>
      <c r="W114" s="8">
        <v>2.0963249999999998</v>
      </c>
      <c r="X114" s="15">
        <v>18.526625571428571</v>
      </c>
      <c r="AB114" t="s">
        <v>30</v>
      </c>
      <c r="AE114" t="s">
        <v>331</v>
      </c>
      <c r="AF114">
        <v>19.95</v>
      </c>
      <c r="AG114" t="s">
        <v>331</v>
      </c>
      <c r="AH114">
        <v>42.17</v>
      </c>
      <c r="AI114">
        <v>7.36</v>
      </c>
    </row>
    <row r="115" spans="1:35" x14ac:dyDescent="0.25">
      <c r="A115" s="20" t="s">
        <v>306</v>
      </c>
      <c r="B115" s="14" t="s">
        <v>278</v>
      </c>
      <c r="C115" s="14" t="s">
        <v>170</v>
      </c>
      <c r="D115" s="10">
        <v>45</v>
      </c>
      <c r="E115" s="18">
        <v>120</v>
      </c>
      <c r="F115" s="10">
        <v>0</v>
      </c>
      <c r="G115" s="10">
        <v>20</v>
      </c>
      <c r="H115" s="8">
        <v>0.45</v>
      </c>
      <c r="I115" s="8">
        <v>480</v>
      </c>
      <c r="J115" s="8">
        <v>525.45000000000005</v>
      </c>
      <c r="K115" s="8">
        <v>0</v>
      </c>
      <c r="L115" s="8">
        <v>2.6272500000000001</v>
      </c>
      <c r="M115" s="8">
        <v>79.211587500000007</v>
      </c>
      <c r="N115" s="8">
        <v>81.838837500000011</v>
      </c>
      <c r="O115" s="8">
        <v>2.25</v>
      </c>
      <c r="P115" s="8">
        <v>510.59999999999997</v>
      </c>
      <c r="Q115" s="8">
        <v>13.786199999999999</v>
      </c>
      <c r="R115" s="8">
        <v>8.6801999999999992</v>
      </c>
      <c r="S115" s="8">
        <v>118.28571428571426</v>
      </c>
      <c r="T115" s="8">
        <v>651.35211428571415</v>
      </c>
      <c r="U115" s="8">
        <v>780.44095178571411</v>
      </c>
      <c r="V115" s="8">
        <v>156.08819035714282</v>
      </c>
      <c r="W115" s="8">
        <v>79.211587500000007</v>
      </c>
      <c r="X115" s="15">
        <v>857.31755464285698</v>
      </c>
      <c r="AB115" t="s">
        <v>30</v>
      </c>
      <c r="AE115" t="s">
        <v>332</v>
      </c>
      <c r="AG115" t="s">
        <v>332</v>
      </c>
      <c r="AH115">
        <v>224.41</v>
      </c>
      <c r="AI115">
        <v>39.46</v>
      </c>
    </row>
    <row r="116" spans="1:35" x14ac:dyDescent="0.25">
      <c r="A116" s="23" t="s">
        <v>307</v>
      </c>
      <c r="B116" s="17" t="s">
        <v>279</v>
      </c>
      <c r="C116" s="17" t="s">
        <v>41</v>
      </c>
      <c r="D116" s="18">
        <v>60</v>
      </c>
      <c r="E116" s="18">
        <v>20</v>
      </c>
      <c r="F116" s="18">
        <v>15</v>
      </c>
      <c r="G116" s="18">
        <v>20</v>
      </c>
      <c r="H116" s="8">
        <v>0.6</v>
      </c>
      <c r="I116" s="8">
        <v>80</v>
      </c>
      <c r="J116" s="8">
        <v>140.6</v>
      </c>
      <c r="K116" s="8">
        <v>21.09</v>
      </c>
      <c r="L116" s="8">
        <v>0.70299999999999996</v>
      </c>
      <c r="M116" s="8">
        <v>24.35895</v>
      </c>
      <c r="N116" s="8">
        <v>46.151949999999999</v>
      </c>
      <c r="O116" s="8">
        <v>3</v>
      </c>
      <c r="P116" s="8">
        <v>85.1</v>
      </c>
      <c r="Q116" s="8">
        <v>2.2976999999999999</v>
      </c>
      <c r="R116" s="8">
        <v>1.4467000000000001</v>
      </c>
      <c r="S116" s="8">
        <v>19.714285714285712</v>
      </c>
      <c r="T116" s="8">
        <v>108.55868571428572</v>
      </c>
      <c r="U116" s="8">
        <v>217.71063571428573</v>
      </c>
      <c r="V116" s="8">
        <v>43.542127142857147</v>
      </c>
      <c r="W116" s="8">
        <v>24.35895</v>
      </c>
      <c r="X116" s="15">
        <v>236.8938128571429</v>
      </c>
      <c r="AB116" t="s">
        <v>30</v>
      </c>
      <c r="AE116" t="s">
        <v>333</v>
      </c>
      <c r="AG116" t="s">
        <v>333</v>
      </c>
      <c r="AH116">
        <v>321.43</v>
      </c>
      <c r="AI116">
        <v>48.85</v>
      </c>
    </row>
    <row r="117" spans="1:35" ht="8.1" customHeight="1" thickBot="1" x14ac:dyDescent="0.3"/>
    <row r="118" spans="1:35" x14ac:dyDescent="0.25">
      <c r="A118" s="30" t="s">
        <v>334</v>
      </c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</row>
    <row r="119" spans="1:35" x14ac:dyDescent="0.25">
      <c r="A119" s="13" t="s">
        <v>335</v>
      </c>
      <c r="B119" s="14" t="s">
        <v>336</v>
      </c>
      <c r="C119" s="14" t="s">
        <v>125</v>
      </c>
      <c r="D119" s="10">
        <v>90</v>
      </c>
      <c r="E119" s="10">
        <v>12</v>
      </c>
      <c r="F119" s="10">
        <v>0</v>
      </c>
      <c r="G119" s="10">
        <v>20</v>
      </c>
      <c r="H119" s="8">
        <v>0.9</v>
      </c>
      <c r="I119" s="8">
        <v>48</v>
      </c>
      <c r="J119" s="8">
        <v>138.9</v>
      </c>
      <c r="K119" s="8">
        <v>0</v>
      </c>
      <c r="L119" s="8">
        <v>0.69450000000000001</v>
      </c>
      <c r="M119" s="8">
        <v>20.939175000000002</v>
      </c>
      <c r="N119" s="8">
        <v>21.633675000000004</v>
      </c>
      <c r="O119" s="8">
        <v>4.5</v>
      </c>
      <c r="P119" s="8">
        <v>51.06</v>
      </c>
      <c r="Q119" s="8">
        <v>1.37862</v>
      </c>
      <c r="R119" s="8">
        <v>0.86802000000000012</v>
      </c>
      <c r="S119" s="8">
        <v>11.828571428571426</v>
      </c>
      <c r="T119" s="8">
        <v>65.135211428571424</v>
      </c>
      <c r="U119" s="8">
        <v>181.26888642857142</v>
      </c>
      <c r="V119" s="8">
        <v>36.253777285714285</v>
      </c>
      <c r="W119" s="8">
        <v>20.939175000000002</v>
      </c>
      <c r="X119" s="15">
        <v>196.58348871428569</v>
      </c>
      <c r="AB119" t="s">
        <v>30</v>
      </c>
      <c r="AH119">
        <v>274.51</v>
      </c>
      <c r="AI119">
        <v>81.73</v>
      </c>
    </row>
    <row r="120" spans="1:35" x14ac:dyDescent="0.25">
      <c r="A120" s="16" t="s">
        <v>337</v>
      </c>
      <c r="B120" s="17" t="s">
        <v>338</v>
      </c>
      <c r="C120" s="17" t="s">
        <v>125</v>
      </c>
      <c r="D120" s="18">
        <v>90</v>
      </c>
      <c r="E120" s="18">
        <v>12</v>
      </c>
      <c r="F120" s="18">
        <v>0</v>
      </c>
      <c r="G120" s="18">
        <v>20</v>
      </c>
      <c r="H120" s="8">
        <v>0.9</v>
      </c>
      <c r="I120" s="8">
        <v>48</v>
      </c>
      <c r="J120" s="8">
        <v>138.9</v>
      </c>
      <c r="K120" s="8">
        <v>0</v>
      </c>
      <c r="L120" s="8">
        <v>0.69450000000000001</v>
      </c>
      <c r="M120" s="8">
        <v>20.939175000000002</v>
      </c>
      <c r="N120" s="8">
        <v>21.633675000000004</v>
      </c>
      <c r="O120" s="8">
        <v>4.5</v>
      </c>
      <c r="P120" s="8">
        <v>51.06</v>
      </c>
      <c r="Q120" s="8">
        <v>1.37862</v>
      </c>
      <c r="R120" s="8">
        <v>0.86802000000000012</v>
      </c>
      <c r="S120" s="8">
        <v>11.828571428571426</v>
      </c>
      <c r="T120" s="8">
        <v>65.135211428571424</v>
      </c>
      <c r="U120" s="8">
        <v>181.26888642857142</v>
      </c>
      <c r="V120" s="8">
        <v>36.253777285714285</v>
      </c>
      <c r="W120" s="8">
        <v>20.939175000000002</v>
      </c>
      <c r="X120" s="15">
        <v>196.58348871428569</v>
      </c>
      <c r="AB120" t="s">
        <v>30</v>
      </c>
      <c r="AH120">
        <v>274.51</v>
      </c>
      <c r="AI120">
        <v>81.73</v>
      </c>
    </row>
    <row r="121" spans="1:35" x14ac:dyDescent="0.25">
      <c r="A121" s="13" t="s">
        <v>339</v>
      </c>
      <c r="B121" s="14" t="s">
        <v>340</v>
      </c>
      <c r="C121" s="14" t="s">
        <v>125</v>
      </c>
      <c r="D121" s="10">
        <v>10</v>
      </c>
      <c r="E121" s="10">
        <v>0.5</v>
      </c>
      <c r="F121" s="10">
        <v>0</v>
      </c>
      <c r="G121" s="10">
        <v>20</v>
      </c>
      <c r="H121" s="8">
        <v>0.1</v>
      </c>
      <c r="I121" s="8">
        <v>2</v>
      </c>
      <c r="J121" s="8">
        <v>12.1</v>
      </c>
      <c r="K121" s="8">
        <v>0</v>
      </c>
      <c r="L121" s="8">
        <v>6.0499999999999998E-2</v>
      </c>
      <c r="M121" s="8">
        <v>1.8240749999999997</v>
      </c>
      <c r="N121" s="8">
        <v>1.8845749999999997</v>
      </c>
      <c r="O121" s="8">
        <v>0.5</v>
      </c>
      <c r="P121" s="8">
        <v>2.1274999999999999</v>
      </c>
      <c r="Q121" s="8">
        <v>5.7442500000000001E-2</v>
      </c>
      <c r="R121" s="8">
        <v>3.6167499999999998E-2</v>
      </c>
      <c r="S121" s="8">
        <v>0.49285714285714277</v>
      </c>
      <c r="T121" s="8">
        <v>2.7139671428571428</v>
      </c>
      <c r="U121" s="8">
        <v>15.098542142857143</v>
      </c>
      <c r="V121" s="8">
        <v>3.0197084285714286</v>
      </c>
      <c r="W121" s="8">
        <v>1.8240749999999997</v>
      </c>
      <c r="X121" s="15">
        <v>16.294175571428571</v>
      </c>
      <c r="AB121" t="s">
        <v>30</v>
      </c>
    </row>
    <row r="122" spans="1:35" x14ac:dyDescent="0.25">
      <c r="A122" s="16" t="s">
        <v>341</v>
      </c>
      <c r="B122" s="17" t="s">
        <v>342</v>
      </c>
      <c r="C122" s="17" t="s">
        <v>125</v>
      </c>
      <c r="D122" s="18">
        <v>10</v>
      </c>
      <c r="E122" s="18">
        <v>0.5</v>
      </c>
      <c r="F122" s="18">
        <v>0</v>
      </c>
      <c r="G122" s="18">
        <v>20</v>
      </c>
      <c r="H122" s="8">
        <v>0.1</v>
      </c>
      <c r="I122" s="8">
        <v>2</v>
      </c>
      <c r="J122" s="8">
        <v>12.1</v>
      </c>
      <c r="K122" s="8">
        <v>0</v>
      </c>
      <c r="L122" s="8">
        <v>6.0499999999999998E-2</v>
      </c>
      <c r="M122" s="8">
        <v>1.8240749999999997</v>
      </c>
      <c r="N122" s="8">
        <v>1.8845749999999997</v>
      </c>
      <c r="O122" s="8">
        <v>0.5</v>
      </c>
      <c r="P122" s="8">
        <v>2.1274999999999999</v>
      </c>
      <c r="Q122" s="8">
        <v>5.7442500000000001E-2</v>
      </c>
      <c r="R122" s="8">
        <v>3.6167499999999998E-2</v>
      </c>
      <c r="S122" s="8">
        <v>0.49285714285714277</v>
      </c>
      <c r="T122" s="8">
        <v>2.7139671428571428</v>
      </c>
      <c r="U122" s="8">
        <v>15.098542142857143</v>
      </c>
      <c r="V122" s="8">
        <v>3.0197084285714286</v>
      </c>
      <c r="W122" s="8">
        <v>1.8240749999999997</v>
      </c>
      <c r="X122" s="15">
        <v>16.294175571428571</v>
      </c>
      <c r="AB122" t="s">
        <v>30</v>
      </c>
      <c r="AH122">
        <v>13.04</v>
      </c>
      <c r="AI122">
        <v>5.51</v>
      </c>
    </row>
    <row r="123" spans="1:35" x14ac:dyDescent="0.25">
      <c r="A123" s="13" t="s">
        <v>343</v>
      </c>
      <c r="B123" s="14" t="s">
        <v>344</v>
      </c>
      <c r="C123" s="14" t="s">
        <v>125</v>
      </c>
      <c r="D123" s="10">
        <v>180</v>
      </c>
      <c r="E123" s="10">
        <v>0.5</v>
      </c>
      <c r="F123" s="10">
        <v>0</v>
      </c>
      <c r="G123" s="10">
        <v>20</v>
      </c>
      <c r="H123" s="8">
        <v>1.8</v>
      </c>
      <c r="I123" s="8">
        <v>2</v>
      </c>
      <c r="J123" s="8">
        <v>183.8</v>
      </c>
      <c r="K123" s="8">
        <v>0</v>
      </c>
      <c r="L123" s="8">
        <v>0.91900000000000004</v>
      </c>
      <c r="M123" s="8">
        <v>27.707850000000004</v>
      </c>
      <c r="N123" s="8">
        <v>28.626850000000005</v>
      </c>
      <c r="O123" s="8">
        <v>9</v>
      </c>
      <c r="P123" s="8">
        <v>2.1274999999999999</v>
      </c>
      <c r="Q123" s="8">
        <v>5.7442500000000001E-2</v>
      </c>
      <c r="R123" s="8">
        <v>3.6167499999999998E-2</v>
      </c>
      <c r="S123" s="8">
        <v>0.49285714285714277</v>
      </c>
      <c r="T123" s="8">
        <v>2.7139671428571428</v>
      </c>
      <c r="U123" s="8">
        <v>220.34081714285713</v>
      </c>
      <c r="V123" s="8">
        <v>44.068163428571431</v>
      </c>
      <c r="W123" s="8">
        <v>27.707850000000004</v>
      </c>
      <c r="X123" s="15">
        <v>236.70113057142856</v>
      </c>
      <c r="AB123" t="s">
        <v>30</v>
      </c>
      <c r="AH123">
        <v>168.17</v>
      </c>
      <c r="AI123">
        <v>131.27000000000001</v>
      </c>
    </row>
    <row r="124" spans="1:35" x14ac:dyDescent="0.25">
      <c r="A124" s="16" t="s">
        <v>345</v>
      </c>
      <c r="B124" s="17" t="s">
        <v>346</v>
      </c>
      <c r="C124" s="17" t="s">
        <v>125</v>
      </c>
      <c r="D124" s="18">
        <v>180</v>
      </c>
      <c r="E124" s="18">
        <v>0.5</v>
      </c>
      <c r="F124" s="18">
        <v>0</v>
      </c>
      <c r="G124" s="18">
        <v>20</v>
      </c>
      <c r="H124" s="8">
        <v>1.8</v>
      </c>
      <c r="I124" s="8">
        <v>2</v>
      </c>
      <c r="J124" s="8">
        <v>183.8</v>
      </c>
      <c r="K124" s="8">
        <v>0</v>
      </c>
      <c r="L124" s="8">
        <v>0.91900000000000004</v>
      </c>
      <c r="M124" s="8">
        <v>27.707850000000004</v>
      </c>
      <c r="N124" s="8">
        <v>28.626850000000005</v>
      </c>
      <c r="O124" s="8">
        <v>9</v>
      </c>
      <c r="P124" s="8">
        <v>2.1274999999999999</v>
      </c>
      <c r="Q124" s="8">
        <v>5.7442500000000001E-2</v>
      </c>
      <c r="R124" s="8">
        <v>3.6167499999999998E-2</v>
      </c>
      <c r="S124" s="8">
        <v>0.49285714285714277</v>
      </c>
      <c r="T124" s="8">
        <v>2.7139671428571428</v>
      </c>
      <c r="U124" s="8">
        <v>220.34081714285713</v>
      </c>
      <c r="V124" s="8">
        <v>44.068163428571431</v>
      </c>
      <c r="W124" s="8">
        <v>27.707850000000004</v>
      </c>
      <c r="X124" s="15">
        <v>236.70113057142856</v>
      </c>
      <c r="AB124" t="s">
        <v>30</v>
      </c>
      <c r="AH124">
        <v>168.17</v>
      </c>
      <c r="AI124">
        <v>131.27000000000001</v>
      </c>
    </row>
    <row r="125" spans="1:35" x14ac:dyDescent="0.25">
      <c r="A125" s="13" t="s">
        <v>347</v>
      </c>
      <c r="B125" s="14" t="s">
        <v>348</v>
      </c>
      <c r="C125" s="14"/>
      <c r="D125" s="10">
        <v>60</v>
      </c>
      <c r="E125" s="10">
        <v>25</v>
      </c>
      <c r="F125" s="10">
        <v>15</v>
      </c>
      <c r="G125" s="10">
        <v>20</v>
      </c>
      <c r="H125" s="8">
        <v>0.6</v>
      </c>
      <c r="I125" s="8">
        <v>100</v>
      </c>
      <c r="J125" s="8">
        <v>160.6</v>
      </c>
      <c r="K125" s="8">
        <v>24.09</v>
      </c>
      <c r="L125" s="8">
        <v>0.80299999999999994</v>
      </c>
      <c r="M125" s="8">
        <v>27.82395</v>
      </c>
      <c r="N125" s="8">
        <v>52.716949999999997</v>
      </c>
      <c r="O125" s="8">
        <v>3</v>
      </c>
      <c r="P125" s="8">
        <v>106.37499999999999</v>
      </c>
      <c r="Q125" s="8">
        <v>2.8721249999999996</v>
      </c>
      <c r="R125" s="8">
        <v>1.8083749999999998</v>
      </c>
      <c r="S125" s="8">
        <v>24.642857142857139</v>
      </c>
      <c r="T125" s="8">
        <v>135.69835714285711</v>
      </c>
      <c r="U125" s="8">
        <v>251.4153071428571</v>
      </c>
      <c r="V125" s="8">
        <v>50.283061428571422</v>
      </c>
      <c r="W125" s="8">
        <v>27.82395</v>
      </c>
      <c r="X125" s="15">
        <v>273.87441857142852</v>
      </c>
      <c r="AB125" t="s">
        <v>30</v>
      </c>
      <c r="AH125">
        <v>155.4</v>
      </c>
      <c r="AI125">
        <v>32.549999999999997</v>
      </c>
    </row>
    <row r="126" spans="1:35" x14ac:dyDescent="0.25">
      <c r="A126" s="16" t="s">
        <v>349</v>
      </c>
      <c r="B126" s="17" t="s">
        <v>350</v>
      </c>
      <c r="C126" s="17" t="s">
        <v>45</v>
      </c>
      <c r="D126" s="18">
        <v>50</v>
      </c>
      <c r="E126" s="18">
        <v>4</v>
      </c>
      <c r="F126" s="18">
        <v>0</v>
      </c>
      <c r="G126" s="18">
        <v>20</v>
      </c>
      <c r="H126" s="8">
        <v>0.5</v>
      </c>
      <c r="I126" s="8">
        <v>16</v>
      </c>
      <c r="J126" s="8">
        <v>66.5</v>
      </c>
      <c r="K126" s="8">
        <v>0</v>
      </c>
      <c r="L126" s="8">
        <v>0.33250000000000002</v>
      </c>
      <c r="M126" s="8">
        <v>10.024875</v>
      </c>
      <c r="N126" s="8">
        <v>10.357374999999999</v>
      </c>
      <c r="O126" s="8">
        <v>2.5</v>
      </c>
      <c r="P126" s="8">
        <v>17.02</v>
      </c>
      <c r="Q126" s="8">
        <v>0.45954</v>
      </c>
      <c r="R126" s="8">
        <v>0.28933999999999999</v>
      </c>
      <c r="S126" s="8">
        <v>3.9428571428571422</v>
      </c>
      <c r="T126" s="8">
        <v>21.711737142857142</v>
      </c>
      <c r="U126" s="8">
        <v>84.569112142857136</v>
      </c>
      <c r="V126" s="8">
        <v>16.913822428571429</v>
      </c>
      <c r="W126" s="8">
        <v>10.024875</v>
      </c>
      <c r="X126" s="15">
        <v>91.458059571428564</v>
      </c>
      <c r="AB126" t="s">
        <v>30</v>
      </c>
    </row>
    <row r="127" spans="1:35" x14ac:dyDescent="0.25">
      <c r="A127" s="13" t="s">
        <v>349</v>
      </c>
      <c r="B127" s="14" t="s">
        <v>351</v>
      </c>
      <c r="C127" s="14" t="s">
        <v>45</v>
      </c>
      <c r="D127" s="10">
        <v>50</v>
      </c>
      <c r="E127" s="10">
        <v>4</v>
      </c>
      <c r="F127" s="10">
        <v>0</v>
      </c>
      <c r="G127" s="10">
        <v>20</v>
      </c>
      <c r="H127" s="8">
        <v>0.5</v>
      </c>
      <c r="I127" s="8">
        <v>16</v>
      </c>
      <c r="J127" s="8">
        <v>66.5</v>
      </c>
      <c r="K127" s="8">
        <v>0</v>
      </c>
      <c r="L127" s="8">
        <v>0.33250000000000002</v>
      </c>
      <c r="M127" s="8">
        <v>10.024875</v>
      </c>
      <c r="N127" s="8">
        <v>10.357374999999999</v>
      </c>
      <c r="O127" s="8">
        <v>2.5</v>
      </c>
      <c r="P127" s="8">
        <v>17.02</v>
      </c>
      <c r="Q127" s="8">
        <v>0.45954</v>
      </c>
      <c r="R127" s="8">
        <v>0.28933999999999999</v>
      </c>
      <c r="S127" s="8">
        <v>3.9428571428571422</v>
      </c>
      <c r="T127" s="8">
        <v>21.711737142857142</v>
      </c>
      <c r="U127" s="8">
        <v>84.569112142857136</v>
      </c>
      <c r="V127" s="8">
        <v>16.913822428571429</v>
      </c>
      <c r="W127" s="8">
        <v>10.024875</v>
      </c>
      <c r="X127" s="15">
        <v>91.458059571428564</v>
      </c>
      <c r="AB127" t="s">
        <v>30</v>
      </c>
      <c r="AH127">
        <v>134.25</v>
      </c>
      <c r="AI127">
        <v>28.35</v>
      </c>
    </row>
    <row r="128" spans="1:35" ht="8.1" customHeight="1" thickBot="1" x14ac:dyDescent="0.3"/>
    <row r="129" spans="1:33" x14ac:dyDescent="0.25">
      <c r="A129" s="30" t="s">
        <v>352</v>
      </c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</row>
    <row r="130" spans="1:33" x14ac:dyDescent="0.25">
      <c r="A130" s="13" t="s">
        <v>384</v>
      </c>
      <c r="B130" s="14" t="s">
        <v>353</v>
      </c>
      <c r="C130" s="14" t="s">
        <v>48</v>
      </c>
      <c r="D130" s="10"/>
      <c r="E130" s="10">
        <v>0.46</v>
      </c>
      <c r="F130" s="10">
        <v>15</v>
      </c>
      <c r="G130" s="10">
        <v>20</v>
      </c>
      <c r="H130" s="8"/>
      <c r="I130" s="8">
        <v>1.84</v>
      </c>
      <c r="J130" s="8"/>
      <c r="K130" s="8"/>
      <c r="L130" s="8"/>
      <c r="M130" s="8"/>
      <c r="N130" s="8"/>
      <c r="O130" s="8"/>
      <c r="P130" s="8">
        <v>1.9573</v>
      </c>
      <c r="Q130" s="8">
        <v>5.2847100000000001E-2</v>
      </c>
      <c r="R130" s="8">
        <v>3.3274100000000001E-2</v>
      </c>
      <c r="S130" s="8">
        <v>0.4534285714285714</v>
      </c>
      <c r="T130" s="8">
        <v>2.4968497714285713</v>
      </c>
      <c r="U130" s="8"/>
      <c r="V130" s="8"/>
      <c r="W130" s="8"/>
      <c r="X130" s="15"/>
      <c r="AA130">
        <v>34.659999999999997</v>
      </c>
      <c r="AB130" t="s">
        <v>30</v>
      </c>
      <c r="AC130" t="s">
        <v>448</v>
      </c>
      <c r="AD130">
        <v>90.95</v>
      </c>
      <c r="AE130" t="s">
        <v>416</v>
      </c>
      <c r="AF130">
        <v>65</v>
      </c>
      <c r="AG130" t="s">
        <v>416</v>
      </c>
    </row>
    <row r="131" spans="1:33" x14ac:dyDescent="0.25">
      <c r="A131" s="16" t="s">
        <v>385</v>
      </c>
      <c r="B131" s="17" t="s">
        <v>354</v>
      </c>
      <c r="C131" s="17" t="s">
        <v>41</v>
      </c>
      <c r="D131" s="18"/>
      <c r="E131" s="18">
        <v>0.25600000000000001</v>
      </c>
      <c r="F131" s="18">
        <v>15</v>
      </c>
      <c r="G131" s="18">
        <v>20</v>
      </c>
      <c r="H131" s="8"/>
      <c r="I131" s="8">
        <v>1.024</v>
      </c>
      <c r="J131" s="8"/>
      <c r="K131" s="8"/>
      <c r="L131" s="8"/>
      <c r="M131" s="8"/>
      <c r="N131" s="8"/>
      <c r="O131" s="8"/>
      <c r="P131" s="8">
        <v>1.08928</v>
      </c>
      <c r="Q131" s="8">
        <v>2.9410559999999999E-2</v>
      </c>
      <c r="R131" s="8">
        <v>1.8517760000000001E-2</v>
      </c>
      <c r="S131" s="8">
        <v>0.25234285714285709</v>
      </c>
      <c r="T131" s="8">
        <v>1.3895511771428573</v>
      </c>
      <c r="U131" s="8"/>
      <c r="V131" s="8"/>
      <c r="W131" s="8"/>
      <c r="X131" s="15"/>
      <c r="AA131">
        <v>260.87</v>
      </c>
      <c r="AB131" t="s">
        <v>30</v>
      </c>
      <c r="AC131" t="s">
        <v>449</v>
      </c>
      <c r="AD131">
        <v>64.22</v>
      </c>
      <c r="AE131" t="s">
        <v>417</v>
      </c>
      <c r="AF131">
        <v>101.28</v>
      </c>
      <c r="AG131" t="s">
        <v>417</v>
      </c>
    </row>
    <row r="132" spans="1:33" x14ac:dyDescent="0.25">
      <c r="A132" s="13" t="s">
        <v>386</v>
      </c>
      <c r="B132" s="14" t="s">
        <v>355</v>
      </c>
      <c r="C132" s="14" t="s">
        <v>41</v>
      </c>
      <c r="D132" s="10"/>
      <c r="E132" s="10">
        <v>0.90600000000000003</v>
      </c>
      <c r="F132" s="10">
        <v>15</v>
      </c>
      <c r="G132" s="10">
        <v>20</v>
      </c>
      <c r="H132" s="8"/>
      <c r="I132" s="8">
        <v>3.6240000000000001</v>
      </c>
      <c r="J132" s="8"/>
      <c r="K132" s="8"/>
      <c r="L132" s="8"/>
      <c r="M132" s="8"/>
      <c r="N132" s="8"/>
      <c r="O132" s="8"/>
      <c r="P132" s="8">
        <v>3.8550300000000002</v>
      </c>
      <c r="Q132" s="8">
        <v>0.10408581</v>
      </c>
      <c r="R132" s="8">
        <v>6.5535510000000005E-2</v>
      </c>
      <c r="S132" s="8">
        <v>0.89305714285714277</v>
      </c>
      <c r="T132" s="8">
        <v>4.917708462857143</v>
      </c>
      <c r="U132" s="8"/>
      <c r="V132" s="8"/>
      <c r="W132" s="8"/>
      <c r="X132" s="15"/>
      <c r="AA132">
        <v>294.93</v>
      </c>
      <c r="AB132" t="s">
        <v>30</v>
      </c>
      <c r="AC132" t="s">
        <v>450</v>
      </c>
      <c r="AE132" t="s">
        <v>418</v>
      </c>
      <c r="AF132">
        <v>57.83</v>
      </c>
      <c r="AG132" t="s">
        <v>418</v>
      </c>
    </row>
    <row r="133" spans="1:33" x14ac:dyDescent="0.25">
      <c r="A133" s="16" t="s">
        <v>387</v>
      </c>
      <c r="B133" s="17" t="s">
        <v>356</v>
      </c>
      <c r="C133" s="17" t="s">
        <v>357</v>
      </c>
      <c r="D133" s="18"/>
      <c r="E133" s="18">
        <v>7.13</v>
      </c>
      <c r="F133" s="18">
        <v>0</v>
      </c>
      <c r="G133" s="18">
        <v>20</v>
      </c>
      <c r="H133" s="8"/>
      <c r="I133" s="8">
        <v>28.52</v>
      </c>
      <c r="J133" s="8"/>
      <c r="K133" s="8"/>
      <c r="L133" s="8"/>
      <c r="M133" s="8"/>
      <c r="N133" s="8"/>
      <c r="O133" s="8"/>
      <c r="P133" s="8">
        <v>30.338149999999999</v>
      </c>
      <c r="Q133" s="8">
        <v>0.81913004999999994</v>
      </c>
      <c r="R133" s="8">
        <v>0.51574854999999997</v>
      </c>
      <c r="S133" s="8">
        <v>7.0281428571428561</v>
      </c>
      <c r="T133" s="8">
        <v>38.701171457142856</v>
      </c>
      <c r="U133" s="8"/>
      <c r="V133" s="8"/>
      <c r="W133" s="8"/>
      <c r="X133" s="15"/>
      <c r="AA133">
        <v>146.37</v>
      </c>
      <c r="AB133" t="s">
        <v>30</v>
      </c>
      <c r="AC133" t="s">
        <v>451</v>
      </c>
      <c r="AD133">
        <v>185</v>
      </c>
      <c r="AE133" t="s">
        <v>419</v>
      </c>
      <c r="AF133">
        <v>299.02999999999997</v>
      </c>
      <c r="AG133" t="s">
        <v>419</v>
      </c>
    </row>
    <row r="134" spans="1:33" x14ac:dyDescent="0.25">
      <c r="A134" s="13" t="s">
        <v>388</v>
      </c>
      <c r="B134" s="14" t="s">
        <v>358</v>
      </c>
      <c r="C134" s="14" t="s">
        <v>41</v>
      </c>
      <c r="D134" s="10"/>
      <c r="E134" s="10">
        <v>2.7829999999999999</v>
      </c>
      <c r="F134" s="10">
        <v>15</v>
      </c>
      <c r="G134" s="10">
        <v>20</v>
      </c>
      <c r="H134" s="8"/>
      <c r="I134" s="8">
        <v>11.132</v>
      </c>
      <c r="J134" s="8"/>
      <c r="K134" s="8"/>
      <c r="L134" s="8"/>
      <c r="M134" s="8"/>
      <c r="N134" s="8"/>
      <c r="O134" s="8"/>
      <c r="P134" s="8">
        <v>11.841664999999999</v>
      </c>
      <c r="Q134" s="8">
        <v>0.31972495499999998</v>
      </c>
      <c r="R134" s="8">
        <v>0.20130830499999999</v>
      </c>
      <c r="S134" s="8">
        <v>2.7432428571428566</v>
      </c>
      <c r="T134" s="8">
        <v>15.105941117142855</v>
      </c>
      <c r="U134" s="8"/>
      <c r="V134" s="8"/>
      <c r="W134" s="8"/>
      <c r="X134" s="15"/>
      <c r="AA134">
        <v>315.05</v>
      </c>
      <c r="AB134" t="s">
        <v>30</v>
      </c>
      <c r="AC134" t="s">
        <v>452</v>
      </c>
      <c r="AD134">
        <v>190.97</v>
      </c>
      <c r="AE134" t="s">
        <v>420</v>
      </c>
      <c r="AF134">
        <v>200.55</v>
      </c>
      <c r="AG134" t="s">
        <v>420</v>
      </c>
    </row>
    <row r="135" spans="1:33" x14ac:dyDescent="0.25">
      <c r="A135" s="16" t="s">
        <v>389</v>
      </c>
      <c r="B135" s="17" t="s">
        <v>359</v>
      </c>
      <c r="C135" s="19"/>
      <c r="D135" s="18"/>
      <c r="E135" s="18"/>
      <c r="F135" s="18"/>
      <c r="G135" s="18">
        <v>20</v>
      </c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15"/>
      <c r="AB135" t="s">
        <v>30</v>
      </c>
      <c r="AC135" t="s">
        <v>453</v>
      </c>
      <c r="AE135" t="s">
        <v>421</v>
      </c>
      <c r="AG135" t="s">
        <v>421</v>
      </c>
    </row>
    <row r="136" spans="1:33" x14ac:dyDescent="0.25">
      <c r="A136" s="13" t="s">
        <v>390</v>
      </c>
      <c r="B136" s="14" t="s">
        <v>360</v>
      </c>
      <c r="C136" s="19"/>
      <c r="D136" s="10"/>
      <c r="E136" s="10">
        <v>1.2999999999999999E-2</v>
      </c>
      <c r="F136" s="10"/>
      <c r="G136" s="10">
        <v>20</v>
      </c>
      <c r="H136" s="8"/>
      <c r="I136" s="8">
        <v>5.1999999999999998E-2</v>
      </c>
      <c r="J136" s="8"/>
      <c r="K136" s="8"/>
      <c r="L136" s="8"/>
      <c r="M136" s="8"/>
      <c r="N136" s="8"/>
      <c r="O136" s="8"/>
      <c r="P136" s="8">
        <v>5.5314999999999989E-2</v>
      </c>
      <c r="Q136" s="8">
        <v>1.4935049999999998E-3</v>
      </c>
      <c r="R136" s="8">
        <v>9.4035499999999992E-4</v>
      </c>
      <c r="S136" s="8">
        <v>1.2814285714285712E-2</v>
      </c>
      <c r="T136" s="8">
        <v>7.0563145714285694E-2</v>
      </c>
      <c r="U136" s="8"/>
      <c r="V136" s="8"/>
      <c r="W136" s="8"/>
      <c r="X136" s="15"/>
      <c r="AA136">
        <v>21.79</v>
      </c>
      <c r="AB136" t="s">
        <v>30</v>
      </c>
      <c r="AC136" t="s">
        <v>454</v>
      </c>
      <c r="AD136">
        <v>23.04</v>
      </c>
      <c r="AE136" t="s">
        <v>422</v>
      </c>
      <c r="AF136">
        <v>16.989999999999998</v>
      </c>
      <c r="AG136" t="s">
        <v>422</v>
      </c>
    </row>
    <row r="137" spans="1:33" x14ac:dyDescent="0.25">
      <c r="A137" s="16" t="s">
        <v>391</v>
      </c>
      <c r="B137" s="17" t="s">
        <v>361</v>
      </c>
      <c r="C137" s="17" t="s">
        <v>357</v>
      </c>
      <c r="D137" s="18"/>
      <c r="E137" s="18">
        <v>0.437</v>
      </c>
      <c r="F137" s="18">
        <v>0</v>
      </c>
      <c r="G137" s="18">
        <v>20</v>
      </c>
      <c r="H137" s="8"/>
      <c r="I137" s="8">
        <v>1.748</v>
      </c>
      <c r="J137" s="8"/>
      <c r="K137" s="8"/>
      <c r="L137" s="8"/>
      <c r="M137" s="8"/>
      <c r="N137" s="8"/>
      <c r="O137" s="8"/>
      <c r="P137" s="8">
        <v>1.8594349999999999</v>
      </c>
      <c r="Q137" s="8">
        <v>5.0204744999999995E-2</v>
      </c>
      <c r="R137" s="8">
        <v>3.1610394999999999E-2</v>
      </c>
      <c r="S137" s="8">
        <v>0.43075714285714278</v>
      </c>
      <c r="T137" s="8">
        <v>2.3720072828571426</v>
      </c>
      <c r="U137" s="8"/>
      <c r="V137" s="8"/>
      <c r="W137" s="8"/>
      <c r="X137" s="15"/>
      <c r="AA137">
        <v>21.52</v>
      </c>
      <c r="AB137" t="s">
        <v>30</v>
      </c>
      <c r="AC137" t="s">
        <v>455</v>
      </c>
      <c r="AE137" t="s">
        <v>423</v>
      </c>
      <c r="AG137" t="s">
        <v>423</v>
      </c>
    </row>
    <row r="138" spans="1:33" x14ac:dyDescent="0.25">
      <c r="A138" s="13" t="s">
        <v>392</v>
      </c>
      <c r="B138" s="14" t="s">
        <v>52</v>
      </c>
      <c r="C138" s="14" t="s">
        <v>41</v>
      </c>
      <c r="D138" s="10"/>
      <c r="E138" s="10">
        <v>4.9000000000000004</v>
      </c>
      <c r="F138" s="10">
        <v>15</v>
      </c>
      <c r="G138" s="10">
        <v>20</v>
      </c>
      <c r="H138" s="8"/>
      <c r="I138" s="8">
        <v>19.600000000000001</v>
      </c>
      <c r="J138" s="8"/>
      <c r="K138" s="8"/>
      <c r="L138" s="8"/>
      <c r="M138" s="8"/>
      <c r="N138" s="8"/>
      <c r="O138" s="8"/>
      <c r="P138" s="8">
        <v>20.849500000000003</v>
      </c>
      <c r="Q138" s="8">
        <v>0.56293650000000006</v>
      </c>
      <c r="R138" s="8">
        <v>0.35444150000000008</v>
      </c>
      <c r="S138" s="8">
        <v>4.83</v>
      </c>
      <c r="T138" s="8">
        <v>26.596878000000004</v>
      </c>
      <c r="U138" s="8"/>
      <c r="V138" s="8"/>
      <c r="W138" s="8"/>
      <c r="X138" s="15"/>
      <c r="AA138">
        <v>152.38</v>
      </c>
      <c r="AB138" t="s">
        <v>30</v>
      </c>
      <c r="AC138" t="s">
        <v>456</v>
      </c>
      <c r="AD138">
        <v>717.96</v>
      </c>
      <c r="AE138" t="s">
        <v>424</v>
      </c>
      <c r="AF138">
        <v>307.82</v>
      </c>
      <c r="AG138" t="s">
        <v>424</v>
      </c>
    </row>
    <row r="139" spans="1:33" x14ac:dyDescent="0.25">
      <c r="A139" s="16" t="s">
        <v>393</v>
      </c>
      <c r="B139" s="17" t="s">
        <v>161</v>
      </c>
      <c r="C139" s="17" t="s">
        <v>45</v>
      </c>
      <c r="D139" s="18"/>
      <c r="E139" s="18">
        <v>3</v>
      </c>
      <c r="F139" s="18">
        <v>0</v>
      </c>
      <c r="G139" s="18">
        <v>20</v>
      </c>
      <c r="H139" s="8"/>
      <c r="I139" s="8">
        <v>12</v>
      </c>
      <c r="J139" s="8"/>
      <c r="K139" s="8"/>
      <c r="L139" s="8"/>
      <c r="M139" s="8"/>
      <c r="N139" s="8"/>
      <c r="O139" s="8"/>
      <c r="P139" s="8">
        <v>12.765000000000001</v>
      </c>
      <c r="Q139" s="8">
        <v>0.34465499999999999</v>
      </c>
      <c r="R139" s="8">
        <v>0.21700500000000003</v>
      </c>
      <c r="S139" s="8">
        <v>2.9571428571428564</v>
      </c>
      <c r="T139" s="8">
        <v>16.283802857142856</v>
      </c>
      <c r="U139" s="8"/>
      <c r="V139" s="8"/>
      <c r="W139" s="8"/>
      <c r="X139" s="15"/>
      <c r="AA139">
        <v>129.46</v>
      </c>
      <c r="AB139" t="s">
        <v>30</v>
      </c>
      <c r="AC139" t="s">
        <v>457</v>
      </c>
      <c r="AE139" t="s">
        <v>425</v>
      </c>
      <c r="AG139" t="s">
        <v>425</v>
      </c>
    </row>
    <row r="140" spans="1:33" x14ac:dyDescent="0.25">
      <c r="A140" s="13" t="s">
        <v>394</v>
      </c>
      <c r="B140" s="14" t="s">
        <v>362</v>
      </c>
      <c r="C140" s="14" t="s">
        <v>45</v>
      </c>
      <c r="D140" s="10"/>
      <c r="E140" s="10">
        <v>1.1479999999999999</v>
      </c>
      <c r="F140" s="10">
        <v>0</v>
      </c>
      <c r="G140" s="10">
        <v>20</v>
      </c>
      <c r="H140" s="8"/>
      <c r="I140" s="8">
        <v>4.5919999999999996</v>
      </c>
      <c r="J140" s="8"/>
      <c r="K140" s="8"/>
      <c r="L140" s="8"/>
      <c r="M140" s="8"/>
      <c r="N140" s="8"/>
      <c r="O140" s="8"/>
      <c r="P140" s="8">
        <v>4.8847399999999999</v>
      </c>
      <c r="Q140" s="8">
        <v>0.13188797999999999</v>
      </c>
      <c r="R140" s="8">
        <v>8.3040580000000003E-2</v>
      </c>
      <c r="S140" s="8">
        <v>1.1315999999999997</v>
      </c>
      <c r="T140" s="8">
        <v>6.2312685599999993</v>
      </c>
      <c r="U140" s="8"/>
      <c r="V140" s="8"/>
      <c r="W140" s="8"/>
      <c r="X140" s="15"/>
      <c r="AA140">
        <v>299.04000000000002</v>
      </c>
      <c r="AB140" t="s">
        <v>30</v>
      </c>
      <c r="AC140" t="s">
        <v>458</v>
      </c>
      <c r="AE140" t="s">
        <v>426</v>
      </c>
      <c r="AF140">
        <v>35.03</v>
      </c>
      <c r="AG140" t="s">
        <v>426</v>
      </c>
    </row>
    <row r="141" spans="1:33" x14ac:dyDescent="0.25">
      <c r="A141" s="16" t="s">
        <v>395</v>
      </c>
      <c r="B141" s="17" t="s">
        <v>363</v>
      </c>
      <c r="C141" s="19"/>
      <c r="D141" s="18"/>
      <c r="E141" s="18">
        <v>1.1599999999999999</v>
      </c>
      <c r="F141" s="18"/>
      <c r="G141" s="18">
        <v>20</v>
      </c>
      <c r="H141" s="8"/>
      <c r="I141" s="8">
        <v>4.6399999999999997</v>
      </c>
      <c r="J141" s="8"/>
      <c r="K141" s="8"/>
      <c r="L141" s="8"/>
      <c r="M141" s="8"/>
      <c r="N141" s="8"/>
      <c r="O141" s="8"/>
      <c r="P141" s="8">
        <v>4.9357999999999995</v>
      </c>
      <c r="Q141" s="8">
        <v>0.13326659999999999</v>
      </c>
      <c r="R141" s="8">
        <v>8.39086E-2</v>
      </c>
      <c r="S141" s="8">
        <v>1.1434285714285712</v>
      </c>
      <c r="T141" s="8">
        <v>6.2964037714285706</v>
      </c>
      <c r="U141" s="8"/>
      <c r="V141" s="8"/>
      <c r="W141" s="8"/>
      <c r="X141" s="15"/>
      <c r="AA141">
        <v>106.1</v>
      </c>
      <c r="AB141" t="s">
        <v>30</v>
      </c>
      <c r="AC141" t="s">
        <v>459</v>
      </c>
      <c r="AE141" t="s">
        <v>427</v>
      </c>
      <c r="AF141">
        <v>87.13</v>
      </c>
      <c r="AG141" t="s">
        <v>427</v>
      </c>
    </row>
    <row r="142" spans="1:33" x14ac:dyDescent="0.25">
      <c r="A142" s="13" t="s">
        <v>396</v>
      </c>
      <c r="B142" s="14" t="s">
        <v>364</v>
      </c>
      <c r="C142" s="14" t="s">
        <v>45</v>
      </c>
      <c r="D142" s="10"/>
      <c r="E142" s="10">
        <v>1.25</v>
      </c>
      <c r="F142" s="10">
        <v>0</v>
      </c>
      <c r="G142" s="10">
        <v>20</v>
      </c>
      <c r="H142" s="8"/>
      <c r="I142" s="8">
        <v>5</v>
      </c>
      <c r="J142" s="8"/>
      <c r="K142" s="8"/>
      <c r="L142" s="8"/>
      <c r="M142" s="8"/>
      <c r="N142" s="8"/>
      <c r="O142" s="8"/>
      <c r="P142" s="8">
        <v>5.3187499999999996</v>
      </c>
      <c r="Q142" s="8">
        <v>0.14360624999999999</v>
      </c>
      <c r="R142" s="8">
        <v>9.0418750000000006E-2</v>
      </c>
      <c r="S142" s="8">
        <v>1.232142857142857</v>
      </c>
      <c r="T142" s="8">
        <v>6.7849178571428572</v>
      </c>
      <c r="U142" s="8"/>
      <c r="V142" s="8"/>
      <c r="W142" s="8"/>
      <c r="X142" s="15"/>
      <c r="AA142">
        <v>243.3</v>
      </c>
      <c r="AB142" t="s">
        <v>30</v>
      </c>
      <c r="AC142" t="s">
        <v>460</v>
      </c>
      <c r="AD142" s="26">
        <v>188.08</v>
      </c>
      <c r="AE142" t="s">
        <v>428</v>
      </c>
      <c r="AG142" t="s">
        <v>428</v>
      </c>
    </row>
    <row r="143" spans="1:33" x14ac:dyDescent="0.25">
      <c r="A143" s="16" t="s">
        <v>397</v>
      </c>
      <c r="B143" s="17" t="s">
        <v>365</v>
      </c>
      <c r="C143" s="17" t="s">
        <v>170</v>
      </c>
      <c r="D143" s="18"/>
      <c r="E143" s="18">
        <v>5.0999999999999997E-2</v>
      </c>
      <c r="F143" s="18">
        <v>0</v>
      </c>
      <c r="G143" s="18">
        <v>20</v>
      </c>
      <c r="H143" s="8"/>
      <c r="I143" s="8">
        <v>0.20399999999999999</v>
      </c>
      <c r="J143" s="8"/>
      <c r="K143" s="8"/>
      <c r="L143" s="8"/>
      <c r="M143" s="8"/>
      <c r="N143" s="8"/>
      <c r="O143" s="8"/>
      <c r="P143" s="8">
        <v>0.217005</v>
      </c>
      <c r="Q143" s="8">
        <v>5.8591349999999997E-3</v>
      </c>
      <c r="R143" s="8">
        <v>3.6890850000000004E-3</v>
      </c>
      <c r="S143" s="8">
        <v>5.0271428571428564E-2</v>
      </c>
      <c r="T143" s="8">
        <v>0.27682464857142858</v>
      </c>
      <c r="U143" s="8"/>
      <c r="V143" s="8"/>
      <c r="W143" s="8"/>
      <c r="X143" s="15"/>
      <c r="AA143">
        <v>170.88</v>
      </c>
      <c r="AB143" t="s">
        <v>30</v>
      </c>
      <c r="AC143" t="s">
        <v>461</v>
      </c>
      <c r="AD143">
        <v>127</v>
      </c>
      <c r="AE143" t="s">
        <v>429</v>
      </c>
      <c r="AF143">
        <v>114.21</v>
      </c>
      <c r="AG143" t="s">
        <v>429</v>
      </c>
    </row>
    <row r="144" spans="1:33" x14ac:dyDescent="0.25">
      <c r="A144" s="13" t="s">
        <v>398</v>
      </c>
      <c r="B144" s="14" t="s">
        <v>366</v>
      </c>
      <c r="C144" s="14" t="s">
        <v>41</v>
      </c>
      <c r="D144" s="10"/>
      <c r="E144" s="10">
        <v>23.9</v>
      </c>
      <c r="F144" s="10">
        <v>15</v>
      </c>
      <c r="G144" s="10">
        <v>20</v>
      </c>
      <c r="H144" s="8"/>
      <c r="I144" s="8">
        <v>95.6</v>
      </c>
      <c r="J144" s="8"/>
      <c r="K144" s="8"/>
      <c r="L144" s="8"/>
      <c r="M144" s="8"/>
      <c r="N144" s="8"/>
      <c r="O144" s="8"/>
      <c r="P144" s="8">
        <v>101.69449999999998</v>
      </c>
      <c r="Q144" s="8">
        <v>2.7457514999999995</v>
      </c>
      <c r="R144" s="8">
        <v>1.7288064999999997</v>
      </c>
      <c r="S144" s="8">
        <v>23.558571428571426</v>
      </c>
      <c r="T144" s="8">
        <v>129.72762942857139</v>
      </c>
      <c r="U144" s="8"/>
      <c r="V144" s="8"/>
      <c r="W144" s="8"/>
      <c r="X144" s="15"/>
      <c r="AA144">
        <v>1526.86</v>
      </c>
      <c r="AB144" t="s">
        <v>30</v>
      </c>
      <c r="AC144" t="s">
        <v>462</v>
      </c>
      <c r="AE144" t="s">
        <v>430</v>
      </c>
      <c r="AF144">
        <v>255.6</v>
      </c>
      <c r="AG144" t="s">
        <v>430</v>
      </c>
    </row>
    <row r="145" spans="1:33" x14ac:dyDescent="0.25">
      <c r="A145" s="16" t="s">
        <v>399</v>
      </c>
      <c r="B145" s="17" t="s">
        <v>367</v>
      </c>
      <c r="C145" s="17" t="s">
        <v>48</v>
      </c>
      <c r="D145" s="18"/>
      <c r="E145" s="18">
        <v>6.1</v>
      </c>
      <c r="F145" s="18">
        <v>15</v>
      </c>
      <c r="G145" s="18">
        <v>20</v>
      </c>
      <c r="H145" s="8"/>
      <c r="I145" s="8">
        <v>24.4</v>
      </c>
      <c r="J145" s="8"/>
      <c r="K145" s="8"/>
      <c r="L145" s="8"/>
      <c r="M145" s="8"/>
      <c r="N145" s="8"/>
      <c r="O145" s="8"/>
      <c r="P145" s="8">
        <v>25.955499999999997</v>
      </c>
      <c r="Q145" s="8">
        <v>0.70079849999999988</v>
      </c>
      <c r="R145" s="8">
        <v>0.44124349999999996</v>
      </c>
      <c r="S145" s="8">
        <v>6.0128571428571416</v>
      </c>
      <c r="T145" s="8">
        <v>33.11039914285714</v>
      </c>
      <c r="U145" s="8"/>
      <c r="V145" s="8"/>
      <c r="W145" s="8"/>
      <c r="X145" s="15"/>
      <c r="AA145">
        <v>425.08</v>
      </c>
      <c r="AB145" t="s">
        <v>30</v>
      </c>
      <c r="AC145" t="s">
        <v>463</v>
      </c>
      <c r="AD145">
        <v>301</v>
      </c>
      <c r="AE145" t="s">
        <v>431</v>
      </c>
      <c r="AG145" t="s">
        <v>431</v>
      </c>
    </row>
    <row r="146" spans="1:33" x14ac:dyDescent="0.25">
      <c r="A146" s="13" t="s">
        <v>400</v>
      </c>
      <c r="B146" s="14" t="s">
        <v>368</v>
      </c>
      <c r="C146" s="14" t="s">
        <v>48</v>
      </c>
      <c r="D146" s="10"/>
      <c r="E146" s="10">
        <v>1.1539999999999999</v>
      </c>
      <c r="F146" s="10">
        <v>15</v>
      </c>
      <c r="G146" s="10">
        <v>20</v>
      </c>
      <c r="H146" s="8"/>
      <c r="I146" s="8">
        <v>4.6159999999999997</v>
      </c>
      <c r="J146" s="8"/>
      <c r="K146" s="8"/>
      <c r="L146" s="8"/>
      <c r="M146" s="8"/>
      <c r="N146" s="8"/>
      <c r="O146" s="8"/>
      <c r="P146" s="8">
        <v>4.9102699999999997</v>
      </c>
      <c r="Q146" s="8">
        <v>0.13257728999999999</v>
      </c>
      <c r="R146" s="8">
        <v>8.3474590000000001E-2</v>
      </c>
      <c r="S146" s="8">
        <v>1.1375142857142855</v>
      </c>
      <c r="T146" s="8">
        <v>6.2638361657142854</v>
      </c>
      <c r="U146" s="8"/>
      <c r="V146" s="8"/>
      <c r="W146" s="8"/>
      <c r="X146" s="15"/>
      <c r="AA146">
        <v>182.83</v>
      </c>
      <c r="AB146" t="s">
        <v>30</v>
      </c>
      <c r="AC146" t="s">
        <v>464</v>
      </c>
      <c r="AD146">
        <v>105.4</v>
      </c>
      <c r="AE146" t="s">
        <v>432</v>
      </c>
      <c r="AF146">
        <v>121.16</v>
      </c>
      <c r="AG146" t="s">
        <v>432</v>
      </c>
    </row>
    <row r="147" spans="1:33" x14ac:dyDescent="0.25">
      <c r="A147" s="16" t="s">
        <v>401</v>
      </c>
      <c r="B147" s="17" t="s">
        <v>369</v>
      </c>
      <c r="C147" s="17" t="s">
        <v>48</v>
      </c>
      <c r="D147" s="18"/>
      <c r="E147" s="18">
        <v>1</v>
      </c>
      <c r="F147" s="18">
        <v>15</v>
      </c>
      <c r="G147" s="18">
        <v>20</v>
      </c>
      <c r="H147" s="8"/>
      <c r="I147" s="8">
        <v>4</v>
      </c>
      <c r="J147" s="8"/>
      <c r="K147" s="8"/>
      <c r="L147" s="8"/>
      <c r="M147" s="8"/>
      <c r="N147" s="8"/>
      <c r="O147" s="8"/>
      <c r="P147" s="8">
        <v>4.2549999999999999</v>
      </c>
      <c r="Q147" s="8">
        <v>0.114885</v>
      </c>
      <c r="R147" s="8">
        <v>7.2334999999999997E-2</v>
      </c>
      <c r="S147" s="8">
        <v>0.98571428571428554</v>
      </c>
      <c r="T147" s="8">
        <v>5.4279342857142856</v>
      </c>
      <c r="U147" s="8"/>
      <c r="V147" s="8"/>
      <c r="W147" s="8"/>
      <c r="X147" s="15"/>
      <c r="AA147">
        <v>46.72</v>
      </c>
      <c r="AB147" t="s">
        <v>30</v>
      </c>
      <c r="AC147" t="s">
        <v>465</v>
      </c>
      <c r="AE147" t="s">
        <v>433</v>
      </c>
      <c r="AF147">
        <v>7.99</v>
      </c>
      <c r="AG147" t="s">
        <v>433</v>
      </c>
    </row>
    <row r="148" spans="1:33" x14ac:dyDescent="0.25">
      <c r="A148" s="13" t="s">
        <v>402</v>
      </c>
      <c r="B148" s="14" t="s">
        <v>370</v>
      </c>
      <c r="C148" s="14" t="s">
        <v>201</v>
      </c>
      <c r="D148" s="10"/>
      <c r="E148" s="10">
        <v>0.03</v>
      </c>
      <c r="F148" s="10">
        <v>0</v>
      </c>
      <c r="G148" s="10">
        <v>20</v>
      </c>
      <c r="H148" s="8"/>
      <c r="I148" s="8">
        <v>0.12</v>
      </c>
      <c r="J148" s="8"/>
      <c r="K148" s="8"/>
      <c r="L148" s="8"/>
      <c r="M148" s="8"/>
      <c r="N148" s="8"/>
      <c r="O148" s="8"/>
      <c r="P148" s="8">
        <v>0.12764999999999999</v>
      </c>
      <c r="Q148" s="8">
        <v>3.4465499999999996E-3</v>
      </c>
      <c r="R148" s="8">
        <v>2.1700499999999998E-3</v>
      </c>
      <c r="S148" s="8">
        <v>2.9571428571428564E-2</v>
      </c>
      <c r="T148" s="8">
        <v>0.16283802857142854</v>
      </c>
      <c r="U148" s="8"/>
      <c r="V148" s="8"/>
      <c r="W148" s="8"/>
      <c r="X148" s="15"/>
      <c r="AA148">
        <v>129.05000000000001</v>
      </c>
      <c r="AB148" t="s">
        <v>30</v>
      </c>
      <c r="AC148" t="s">
        <v>466</v>
      </c>
      <c r="AD148">
        <v>112.73</v>
      </c>
      <c r="AE148" t="s">
        <v>434</v>
      </c>
      <c r="AG148" t="s">
        <v>434</v>
      </c>
    </row>
    <row r="149" spans="1:33" x14ac:dyDescent="0.25">
      <c r="A149" s="16" t="s">
        <v>403</v>
      </c>
      <c r="B149" s="17" t="s">
        <v>371</v>
      </c>
      <c r="C149" s="17" t="s">
        <v>48</v>
      </c>
      <c r="D149" s="18"/>
      <c r="E149" s="18">
        <v>0.124</v>
      </c>
      <c r="F149" s="18">
        <v>15</v>
      </c>
      <c r="G149" s="18">
        <v>20</v>
      </c>
      <c r="H149" s="8"/>
      <c r="I149" s="8">
        <v>0.496</v>
      </c>
      <c r="J149" s="8"/>
      <c r="K149" s="8"/>
      <c r="L149" s="8"/>
      <c r="M149" s="8"/>
      <c r="N149" s="8"/>
      <c r="O149" s="8"/>
      <c r="P149" s="8">
        <v>0.52761999999999998</v>
      </c>
      <c r="Q149" s="8">
        <v>1.424574E-2</v>
      </c>
      <c r="R149" s="8">
        <v>8.9695399999999998E-3</v>
      </c>
      <c r="S149" s="8">
        <v>0.12222857142857141</v>
      </c>
      <c r="T149" s="8">
        <v>0.67306385142857139</v>
      </c>
      <c r="U149" s="8"/>
      <c r="V149" s="8"/>
      <c r="W149" s="8"/>
      <c r="X149" s="15"/>
      <c r="AA149">
        <v>55.77</v>
      </c>
      <c r="AB149" t="s">
        <v>30</v>
      </c>
      <c r="AC149" t="s">
        <v>467</v>
      </c>
      <c r="AE149" t="s">
        <v>435</v>
      </c>
      <c r="AF149">
        <v>25.99</v>
      </c>
      <c r="AG149" t="s">
        <v>435</v>
      </c>
    </row>
    <row r="150" spans="1:33" x14ac:dyDescent="0.25">
      <c r="A150" s="13" t="s">
        <v>404</v>
      </c>
      <c r="B150" s="14" t="s">
        <v>372</v>
      </c>
      <c r="C150" s="14" t="s">
        <v>48</v>
      </c>
      <c r="D150" s="10"/>
      <c r="E150" s="10">
        <v>0.124</v>
      </c>
      <c r="F150" s="10">
        <v>15</v>
      </c>
      <c r="G150" s="10">
        <v>20</v>
      </c>
      <c r="H150" s="8"/>
      <c r="I150" s="8">
        <v>0.496</v>
      </c>
      <c r="J150" s="8"/>
      <c r="K150" s="8"/>
      <c r="L150" s="8"/>
      <c r="M150" s="8"/>
      <c r="N150" s="8"/>
      <c r="O150" s="8"/>
      <c r="P150" s="8">
        <v>0.52761999999999998</v>
      </c>
      <c r="Q150" s="8">
        <v>1.424574E-2</v>
      </c>
      <c r="R150" s="8">
        <v>8.9695399999999998E-3</v>
      </c>
      <c r="S150" s="8">
        <v>0.12222857142857141</v>
      </c>
      <c r="T150" s="8">
        <v>0.67306385142857139</v>
      </c>
      <c r="U150" s="8"/>
      <c r="V150" s="8"/>
      <c r="W150" s="8"/>
      <c r="X150" s="15"/>
      <c r="AA150">
        <v>54.51</v>
      </c>
      <c r="AB150" t="s">
        <v>30</v>
      </c>
      <c r="AC150" t="s">
        <v>468</v>
      </c>
      <c r="AD150">
        <v>50.74</v>
      </c>
      <c r="AE150" t="s">
        <v>436</v>
      </c>
      <c r="AF150">
        <v>25.99</v>
      </c>
      <c r="AG150" t="s">
        <v>436</v>
      </c>
    </row>
    <row r="151" spans="1:33" x14ac:dyDescent="0.25">
      <c r="A151" s="16" t="s">
        <v>405</v>
      </c>
      <c r="B151" s="17" t="s">
        <v>373</v>
      </c>
      <c r="C151" s="17" t="s">
        <v>277</v>
      </c>
      <c r="D151" s="18"/>
      <c r="E151" s="18">
        <v>1E-3</v>
      </c>
      <c r="F151" s="18">
        <v>0</v>
      </c>
      <c r="G151" s="18">
        <v>20</v>
      </c>
      <c r="H151" s="8"/>
      <c r="I151" s="8">
        <v>4.0000000000000001E-3</v>
      </c>
      <c r="J151" s="8"/>
      <c r="K151" s="8"/>
      <c r="L151" s="8"/>
      <c r="M151" s="8"/>
      <c r="N151" s="8"/>
      <c r="O151" s="8"/>
      <c r="P151" s="8">
        <v>4.2550000000000001E-3</v>
      </c>
      <c r="Q151" s="8">
        <v>1.14885E-4</v>
      </c>
      <c r="R151" s="8">
        <v>7.2335000000000005E-5</v>
      </c>
      <c r="S151" s="8">
        <v>9.8571428571428551E-4</v>
      </c>
      <c r="T151" s="8">
        <v>5.4279342857142861E-3</v>
      </c>
      <c r="U151" s="8"/>
      <c r="V151" s="8"/>
      <c r="W151" s="8"/>
      <c r="X151" s="15"/>
      <c r="AA151">
        <v>29.57</v>
      </c>
      <c r="AB151" t="s">
        <v>30</v>
      </c>
      <c r="AC151" t="s">
        <v>469</v>
      </c>
      <c r="AD151">
        <v>14</v>
      </c>
      <c r="AE151" t="s">
        <v>437</v>
      </c>
      <c r="AF151">
        <v>11.75</v>
      </c>
      <c r="AG151" t="s">
        <v>437</v>
      </c>
    </row>
    <row r="152" spans="1:33" x14ac:dyDescent="0.25">
      <c r="A152" s="13" t="s">
        <v>406</v>
      </c>
      <c r="B152" s="14" t="s">
        <v>373</v>
      </c>
      <c r="C152" s="14" t="s">
        <v>277</v>
      </c>
      <c r="D152" s="10"/>
      <c r="E152" s="10">
        <v>0.112</v>
      </c>
      <c r="F152" s="10">
        <v>0</v>
      </c>
      <c r="G152" s="10">
        <v>20</v>
      </c>
      <c r="H152" s="8"/>
      <c r="I152" s="8">
        <v>0.44800000000000001</v>
      </c>
      <c r="J152" s="8"/>
      <c r="K152" s="8"/>
      <c r="L152" s="8"/>
      <c r="M152" s="8"/>
      <c r="N152" s="8"/>
      <c r="O152" s="8"/>
      <c r="P152" s="8">
        <v>0.47656000000000004</v>
      </c>
      <c r="Q152" s="8">
        <v>1.2867120000000001E-2</v>
      </c>
      <c r="R152" s="8">
        <v>8.1015200000000009E-3</v>
      </c>
      <c r="S152" s="8">
        <v>0.1104</v>
      </c>
      <c r="T152" s="8">
        <v>0.60792864000000013</v>
      </c>
      <c r="U152" s="8"/>
      <c r="V152" s="8"/>
      <c r="W152" s="8"/>
      <c r="X152" s="15"/>
      <c r="AA152">
        <v>26.35</v>
      </c>
      <c r="AB152" t="s">
        <v>30</v>
      </c>
      <c r="AC152" t="s">
        <v>470</v>
      </c>
      <c r="AD152">
        <v>7.98</v>
      </c>
      <c r="AE152" t="s">
        <v>438</v>
      </c>
      <c r="AF152">
        <v>10.49</v>
      </c>
      <c r="AG152" t="s">
        <v>438</v>
      </c>
    </row>
    <row r="153" spans="1:33" x14ac:dyDescent="0.25">
      <c r="A153" s="16" t="s">
        <v>407</v>
      </c>
      <c r="B153" s="17" t="s">
        <v>374</v>
      </c>
      <c r="C153" s="17" t="s">
        <v>45</v>
      </c>
      <c r="D153" s="18"/>
      <c r="E153" s="18">
        <v>1.502</v>
      </c>
      <c r="F153" s="18">
        <v>0</v>
      </c>
      <c r="G153" s="18">
        <v>20</v>
      </c>
      <c r="H153" s="8"/>
      <c r="I153" s="8">
        <v>6.008</v>
      </c>
      <c r="J153" s="8"/>
      <c r="K153" s="8"/>
      <c r="L153" s="8"/>
      <c r="M153" s="8"/>
      <c r="N153" s="8"/>
      <c r="O153" s="8"/>
      <c r="P153" s="8">
        <v>6.3910099999999996</v>
      </c>
      <c r="Q153" s="8">
        <v>0.17255726999999998</v>
      </c>
      <c r="R153" s="8">
        <v>0.10864717</v>
      </c>
      <c r="S153" s="8">
        <v>1.4805428571428569</v>
      </c>
      <c r="T153" s="8">
        <v>8.1527572971428572</v>
      </c>
      <c r="U153" s="8"/>
      <c r="V153" s="8"/>
      <c r="W153" s="8"/>
      <c r="X153" s="15"/>
      <c r="AA153">
        <v>282.66000000000003</v>
      </c>
      <c r="AB153" t="s">
        <v>30</v>
      </c>
      <c r="AC153" t="s">
        <v>471</v>
      </c>
      <c r="AD153">
        <v>301.99</v>
      </c>
      <c r="AE153" t="s">
        <v>439</v>
      </c>
      <c r="AG153" t="s">
        <v>439</v>
      </c>
    </row>
    <row r="154" spans="1:33" x14ac:dyDescent="0.25">
      <c r="A154" s="13" t="s">
        <v>408</v>
      </c>
      <c r="B154" s="14" t="s">
        <v>375</v>
      </c>
      <c r="C154" s="14" t="s">
        <v>45</v>
      </c>
      <c r="D154" s="10"/>
      <c r="E154" s="10">
        <v>1.5</v>
      </c>
      <c r="F154" s="10">
        <v>0</v>
      </c>
      <c r="G154" s="10">
        <v>20</v>
      </c>
      <c r="H154" s="8"/>
      <c r="I154" s="8">
        <v>6</v>
      </c>
      <c r="J154" s="8"/>
      <c r="K154" s="8"/>
      <c r="L154" s="8"/>
      <c r="M154" s="8"/>
      <c r="N154" s="8"/>
      <c r="O154" s="8"/>
      <c r="P154" s="8">
        <v>6.3825000000000003</v>
      </c>
      <c r="Q154" s="8">
        <v>0.17232749999999999</v>
      </c>
      <c r="R154" s="8">
        <v>0.10850250000000002</v>
      </c>
      <c r="S154" s="8">
        <v>1.4785714285714282</v>
      </c>
      <c r="T154" s="8">
        <v>8.141901428571428</v>
      </c>
      <c r="U154" s="8"/>
      <c r="V154" s="8"/>
      <c r="W154" s="8"/>
      <c r="X154" s="15"/>
      <c r="AA154">
        <v>206.97</v>
      </c>
      <c r="AB154" t="s">
        <v>30</v>
      </c>
      <c r="AC154" t="s">
        <v>472</v>
      </c>
      <c r="AD154">
        <v>253</v>
      </c>
      <c r="AE154" t="s">
        <v>440</v>
      </c>
      <c r="AF154">
        <v>198.99</v>
      </c>
      <c r="AG154" t="s">
        <v>440</v>
      </c>
    </row>
    <row r="155" spans="1:33" x14ac:dyDescent="0.25">
      <c r="A155" s="16" t="s">
        <v>409</v>
      </c>
      <c r="B155" s="17" t="s">
        <v>376</v>
      </c>
      <c r="C155" s="17" t="s">
        <v>45</v>
      </c>
      <c r="D155" s="18"/>
      <c r="E155" s="18">
        <v>6.3380000000000001</v>
      </c>
      <c r="F155" s="18">
        <v>0</v>
      </c>
      <c r="G155" s="18">
        <v>20</v>
      </c>
      <c r="H155" s="8"/>
      <c r="I155" s="8">
        <v>25.352</v>
      </c>
      <c r="J155" s="8"/>
      <c r="K155" s="8"/>
      <c r="L155" s="8"/>
      <c r="M155" s="8"/>
      <c r="N155" s="8"/>
      <c r="O155" s="8"/>
      <c r="P155" s="8">
        <v>26.96819</v>
      </c>
      <c r="Q155" s="8">
        <v>0.72814113000000003</v>
      </c>
      <c r="R155" s="8">
        <v>0.45845923000000005</v>
      </c>
      <c r="S155" s="8">
        <v>6.2474571428571419</v>
      </c>
      <c r="T155" s="8">
        <v>34.402247502857144</v>
      </c>
      <c r="U155" s="8"/>
      <c r="V155" s="8"/>
      <c r="W155" s="8"/>
      <c r="X155" s="15"/>
      <c r="AA155">
        <v>165.41</v>
      </c>
      <c r="AB155" t="s">
        <v>30</v>
      </c>
      <c r="AC155" t="s">
        <v>473</v>
      </c>
      <c r="AE155" t="s">
        <v>441</v>
      </c>
      <c r="AG155" t="s">
        <v>441</v>
      </c>
    </row>
    <row r="156" spans="1:33" x14ac:dyDescent="0.25">
      <c r="A156" s="13" t="s">
        <v>410</v>
      </c>
      <c r="B156" s="14" t="s">
        <v>377</v>
      </c>
      <c r="C156" s="14" t="s">
        <v>170</v>
      </c>
      <c r="D156" s="10"/>
      <c r="E156" s="10">
        <v>13.9</v>
      </c>
      <c r="F156" s="10">
        <v>0</v>
      </c>
      <c r="G156" s="10">
        <v>20</v>
      </c>
      <c r="H156" s="8"/>
      <c r="I156" s="8">
        <v>55.6</v>
      </c>
      <c r="J156" s="8"/>
      <c r="K156" s="8"/>
      <c r="L156" s="8"/>
      <c r="M156" s="8"/>
      <c r="N156" s="8"/>
      <c r="O156" s="8"/>
      <c r="P156" s="8">
        <v>59.144500000000001</v>
      </c>
      <c r="Q156" s="8">
        <v>1.5969015</v>
      </c>
      <c r="R156" s="8">
        <v>1.0054565</v>
      </c>
      <c r="S156" s="8">
        <v>13.70142857142857</v>
      </c>
      <c r="T156" s="8">
        <v>75.448286571428568</v>
      </c>
      <c r="U156" s="8"/>
      <c r="V156" s="8"/>
      <c r="W156" s="8"/>
      <c r="X156" s="15"/>
      <c r="AA156">
        <v>2297.09</v>
      </c>
      <c r="AB156" t="s">
        <v>30</v>
      </c>
      <c r="AC156" t="s">
        <v>474</v>
      </c>
      <c r="AD156">
        <v>2530.91</v>
      </c>
      <c r="AE156" t="s">
        <v>442</v>
      </c>
      <c r="AG156" t="s">
        <v>442</v>
      </c>
    </row>
    <row r="157" spans="1:33" x14ac:dyDescent="0.25">
      <c r="A157" s="16" t="s">
        <v>411</v>
      </c>
      <c r="B157" s="17" t="s">
        <v>378</v>
      </c>
      <c r="C157" s="17" t="s">
        <v>379</v>
      </c>
      <c r="D157" s="18"/>
      <c r="E157" s="18">
        <v>1.8740000000000001</v>
      </c>
      <c r="F157" s="18">
        <v>30</v>
      </c>
      <c r="G157" s="18">
        <v>20</v>
      </c>
      <c r="H157" s="8"/>
      <c r="I157" s="8">
        <v>7.4960000000000004</v>
      </c>
      <c r="J157" s="8"/>
      <c r="K157" s="8"/>
      <c r="L157" s="8"/>
      <c r="M157" s="8"/>
      <c r="N157" s="8"/>
      <c r="O157" s="8"/>
      <c r="P157" s="8">
        <v>7.9738699999999998</v>
      </c>
      <c r="Q157" s="8">
        <v>0.21529449000000001</v>
      </c>
      <c r="R157" s="8">
        <v>0.13555579000000001</v>
      </c>
      <c r="S157" s="8">
        <v>1.8472285714285712</v>
      </c>
      <c r="T157" s="8">
        <v>10.171948851428571</v>
      </c>
      <c r="U157" s="8"/>
      <c r="V157" s="8"/>
      <c r="W157" s="8"/>
      <c r="X157" s="15"/>
      <c r="AA157">
        <v>101.61</v>
      </c>
      <c r="AB157" t="s">
        <v>30</v>
      </c>
      <c r="AC157" t="s">
        <v>475</v>
      </c>
      <c r="AD157">
        <v>72.099999999999994</v>
      </c>
      <c r="AE157" t="s">
        <v>443</v>
      </c>
      <c r="AG157" t="s">
        <v>443</v>
      </c>
    </row>
    <row r="158" spans="1:33" x14ac:dyDescent="0.25">
      <c r="A158" s="13" t="s">
        <v>412</v>
      </c>
      <c r="B158" s="14" t="s">
        <v>380</v>
      </c>
      <c r="C158" s="14" t="s">
        <v>381</v>
      </c>
      <c r="D158" s="10"/>
      <c r="E158" s="10">
        <v>0.60199999999999998</v>
      </c>
      <c r="F158" s="10">
        <v>0</v>
      </c>
      <c r="G158" s="10">
        <v>20</v>
      </c>
      <c r="H158" s="8"/>
      <c r="I158" s="8">
        <v>2.4079999999999999</v>
      </c>
      <c r="J158" s="8"/>
      <c r="K158" s="8"/>
      <c r="L158" s="8"/>
      <c r="M158" s="8"/>
      <c r="N158" s="8"/>
      <c r="O158" s="8"/>
      <c r="P158" s="8">
        <v>2.5615099999999997</v>
      </c>
      <c r="Q158" s="8">
        <v>6.9160769999999996E-2</v>
      </c>
      <c r="R158" s="8">
        <v>4.3545670000000002E-2</v>
      </c>
      <c r="S158" s="8">
        <v>0.59339999999999982</v>
      </c>
      <c r="T158" s="8">
        <v>3.2676164399999994</v>
      </c>
      <c r="U158" s="8"/>
      <c r="V158" s="8"/>
      <c r="W158" s="8"/>
      <c r="X158" s="15"/>
      <c r="AA158">
        <v>164.51</v>
      </c>
      <c r="AB158" t="s">
        <v>30</v>
      </c>
      <c r="AC158" t="s">
        <v>476</v>
      </c>
      <c r="AD158">
        <v>187.4</v>
      </c>
      <c r="AE158" t="s">
        <v>444</v>
      </c>
      <c r="AG158" t="s">
        <v>444</v>
      </c>
    </row>
    <row r="159" spans="1:33" x14ac:dyDescent="0.25">
      <c r="A159" s="16" t="s">
        <v>413</v>
      </c>
      <c r="B159" s="17" t="s">
        <v>382</v>
      </c>
      <c r="C159" s="17" t="s">
        <v>170</v>
      </c>
      <c r="D159" s="18"/>
      <c r="E159" s="18">
        <v>0.95599999999999996</v>
      </c>
      <c r="F159" s="18">
        <v>0</v>
      </c>
      <c r="G159" s="18">
        <v>20</v>
      </c>
      <c r="H159" s="8"/>
      <c r="I159" s="8">
        <v>3.8239999999999998</v>
      </c>
      <c r="J159" s="8"/>
      <c r="K159" s="8"/>
      <c r="L159" s="8"/>
      <c r="M159" s="8"/>
      <c r="N159" s="8"/>
      <c r="O159" s="8"/>
      <c r="P159" s="8">
        <v>4.06778</v>
      </c>
      <c r="Q159" s="8">
        <v>0.10983005999999999</v>
      </c>
      <c r="R159" s="8">
        <v>6.9152260000000007E-2</v>
      </c>
      <c r="S159" s="8">
        <v>0.94234285714285704</v>
      </c>
      <c r="T159" s="8">
        <v>5.1891051771428574</v>
      </c>
      <c r="U159" s="8"/>
      <c r="V159" s="8"/>
      <c r="W159" s="8"/>
      <c r="X159" s="15"/>
      <c r="AA159">
        <v>76.64</v>
      </c>
      <c r="AB159" t="s">
        <v>30</v>
      </c>
      <c r="AC159" t="s">
        <v>477</v>
      </c>
      <c r="AD159">
        <v>44</v>
      </c>
      <c r="AE159" t="s">
        <v>445</v>
      </c>
      <c r="AG159" t="s">
        <v>445</v>
      </c>
    </row>
    <row r="160" spans="1:33" x14ac:dyDescent="0.25">
      <c r="A160" s="13" t="s">
        <v>414</v>
      </c>
      <c r="B160" s="14" t="s">
        <v>383</v>
      </c>
      <c r="C160" s="14" t="s">
        <v>48</v>
      </c>
      <c r="D160" s="10"/>
      <c r="E160" s="10">
        <v>1.6E-2</v>
      </c>
      <c r="F160" s="10">
        <v>15</v>
      </c>
      <c r="G160" s="10">
        <v>20</v>
      </c>
      <c r="H160" s="8"/>
      <c r="I160" s="8">
        <v>6.4000000000000001E-2</v>
      </c>
      <c r="J160" s="8"/>
      <c r="K160" s="8"/>
      <c r="L160" s="8"/>
      <c r="M160" s="8"/>
      <c r="N160" s="8"/>
      <c r="O160" s="8"/>
      <c r="P160" s="8">
        <v>6.8080000000000002E-2</v>
      </c>
      <c r="Q160" s="8">
        <v>1.8381599999999999E-3</v>
      </c>
      <c r="R160" s="8">
        <v>1.1573600000000001E-3</v>
      </c>
      <c r="S160" s="8">
        <v>1.5771428571428568E-2</v>
      </c>
      <c r="T160" s="8">
        <v>8.6846948571428578E-2</v>
      </c>
      <c r="U160" s="8"/>
      <c r="V160" s="8"/>
      <c r="W160" s="8"/>
      <c r="X160" s="15"/>
      <c r="AA160">
        <v>146.74</v>
      </c>
      <c r="AB160" t="s">
        <v>30</v>
      </c>
      <c r="AC160" t="s">
        <v>478</v>
      </c>
      <c r="AE160" t="s">
        <v>446</v>
      </c>
      <c r="AF160">
        <v>80.989999999999995</v>
      </c>
      <c r="AG160" t="s">
        <v>446</v>
      </c>
    </row>
    <row r="161" spans="1:33" x14ac:dyDescent="0.25">
      <c r="A161" s="16" t="s">
        <v>415</v>
      </c>
      <c r="B161" s="17" t="s">
        <v>172</v>
      </c>
      <c r="C161" s="17" t="s">
        <v>48</v>
      </c>
      <c r="D161" s="18"/>
      <c r="E161" s="18">
        <v>3.66</v>
      </c>
      <c r="F161" s="18">
        <v>15</v>
      </c>
      <c r="G161" s="18">
        <v>20</v>
      </c>
      <c r="H161" s="8"/>
      <c r="I161" s="8">
        <v>14.64</v>
      </c>
      <c r="J161" s="8"/>
      <c r="K161" s="8"/>
      <c r="L161" s="8"/>
      <c r="M161" s="8"/>
      <c r="N161" s="8"/>
      <c r="O161" s="8"/>
      <c r="P161" s="8">
        <v>15.573300000000001</v>
      </c>
      <c r="Q161" s="8">
        <v>0.42047910000000005</v>
      </c>
      <c r="R161" s="8">
        <v>0.26474610000000004</v>
      </c>
      <c r="S161" s="8">
        <v>3.6077142857142852</v>
      </c>
      <c r="T161" s="8">
        <v>19.866239485714285</v>
      </c>
      <c r="U161" s="8"/>
      <c r="V161" s="8"/>
      <c r="W161" s="8"/>
      <c r="X161" s="15"/>
      <c r="AA161">
        <v>330.14</v>
      </c>
      <c r="AB161" t="s">
        <v>30</v>
      </c>
      <c r="AC161" t="s">
        <v>479</v>
      </c>
      <c r="AD161">
        <v>321.63</v>
      </c>
      <c r="AE161" t="s">
        <v>447</v>
      </c>
      <c r="AG161" t="s">
        <v>447</v>
      </c>
    </row>
    <row r="162" spans="1:33" ht="8.1" customHeight="1" thickBot="1" x14ac:dyDescent="0.3"/>
    <row r="163" spans="1:33" x14ac:dyDescent="0.25">
      <c r="A163" s="30" t="s">
        <v>480</v>
      </c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</row>
    <row r="164" spans="1:33" ht="26.25" x14ac:dyDescent="0.25">
      <c r="A164" s="27" t="s">
        <v>596</v>
      </c>
      <c r="B164" s="14" t="s">
        <v>481</v>
      </c>
      <c r="C164" s="19"/>
      <c r="D164" s="10">
        <v>75</v>
      </c>
      <c r="E164" s="10">
        <v>25</v>
      </c>
      <c r="F164" s="10"/>
      <c r="G164" s="10">
        <v>20</v>
      </c>
      <c r="H164" s="8">
        <v>0.75</v>
      </c>
      <c r="I164" s="8">
        <v>100</v>
      </c>
      <c r="J164" s="8">
        <v>175.75</v>
      </c>
      <c r="K164" s="8">
        <v>0</v>
      </c>
      <c r="L164" s="8">
        <v>0.87875000000000003</v>
      </c>
      <c r="M164" s="8">
        <v>26.494312499999999</v>
      </c>
      <c r="N164" s="8">
        <v>27.3730625</v>
      </c>
      <c r="O164" s="8">
        <v>3.75</v>
      </c>
      <c r="P164" s="8">
        <v>106.37499999999999</v>
      </c>
      <c r="Q164" s="8">
        <v>2.8721249999999996</v>
      </c>
      <c r="R164" s="8">
        <v>1.8083749999999998</v>
      </c>
      <c r="S164" s="8">
        <v>24.642857142857139</v>
      </c>
      <c r="T164" s="8">
        <v>135.69835714285711</v>
      </c>
      <c r="U164" s="8">
        <v>241.82141964285711</v>
      </c>
      <c r="V164" s="8">
        <v>48.364283928571425</v>
      </c>
      <c r="W164" s="8">
        <v>26.494312499999999</v>
      </c>
      <c r="X164" s="15">
        <v>263.69139107142854</v>
      </c>
      <c r="AB164" t="s">
        <v>30</v>
      </c>
      <c r="AC164" t="s">
        <v>567</v>
      </c>
      <c r="AD164">
        <v>158.69999999999999</v>
      </c>
      <c r="AE164" t="s">
        <v>539</v>
      </c>
      <c r="AG164" t="s">
        <v>539</v>
      </c>
    </row>
    <row r="165" spans="1:33" x14ac:dyDescent="0.25">
      <c r="A165" s="16" t="s">
        <v>482</v>
      </c>
      <c r="B165" s="17" t="s">
        <v>483</v>
      </c>
      <c r="C165" s="17" t="s">
        <v>274</v>
      </c>
      <c r="D165" s="18"/>
      <c r="E165" s="18"/>
      <c r="F165" s="18">
        <v>0</v>
      </c>
      <c r="G165" s="18">
        <v>20</v>
      </c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15"/>
      <c r="AB165" t="s">
        <v>30</v>
      </c>
      <c r="AC165" t="s">
        <v>568</v>
      </c>
      <c r="AD165">
        <v>318.2</v>
      </c>
      <c r="AE165" t="s">
        <v>540</v>
      </c>
      <c r="AF165">
        <v>249.25</v>
      </c>
      <c r="AG165" t="s">
        <v>540</v>
      </c>
    </row>
    <row r="166" spans="1:33" x14ac:dyDescent="0.25">
      <c r="A166" s="13" t="s">
        <v>484</v>
      </c>
      <c r="B166" s="14" t="s">
        <v>485</v>
      </c>
      <c r="C166" s="14" t="s">
        <v>486</v>
      </c>
      <c r="D166" s="10"/>
      <c r="E166" s="10"/>
      <c r="F166" s="10">
        <v>15</v>
      </c>
      <c r="G166" s="10">
        <v>20</v>
      </c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15"/>
      <c r="AB166" t="s">
        <v>30</v>
      </c>
      <c r="AC166" t="s">
        <v>569</v>
      </c>
      <c r="AD166">
        <v>59.69</v>
      </c>
      <c r="AE166" t="s">
        <v>541</v>
      </c>
      <c r="AG166" t="s">
        <v>541</v>
      </c>
    </row>
    <row r="167" spans="1:33" x14ac:dyDescent="0.25">
      <c r="A167" s="16" t="s">
        <v>487</v>
      </c>
      <c r="B167" s="17" t="s">
        <v>258</v>
      </c>
      <c r="C167" s="17" t="s">
        <v>201</v>
      </c>
      <c r="D167" s="18"/>
      <c r="E167" s="18"/>
      <c r="F167" s="18">
        <v>0</v>
      </c>
      <c r="G167" s="18">
        <v>20</v>
      </c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15"/>
      <c r="AB167" t="s">
        <v>30</v>
      </c>
      <c r="AC167" t="s">
        <v>570</v>
      </c>
      <c r="AD167">
        <v>164.63</v>
      </c>
      <c r="AE167" t="s">
        <v>542</v>
      </c>
      <c r="AF167">
        <v>94.99</v>
      </c>
      <c r="AG167" t="s">
        <v>542</v>
      </c>
    </row>
    <row r="168" spans="1:33" x14ac:dyDescent="0.25">
      <c r="A168" s="13" t="s">
        <v>488</v>
      </c>
      <c r="B168" s="14" t="s">
        <v>489</v>
      </c>
      <c r="C168" s="14" t="s">
        <v>274</v>
      </c>
      <c r="D168" s="10"/>
      <c r="E168" s="10"/>
      <c r="F168" s="10">
        <v>0</v>
      </c>
      <c r="G168" s="10">
        <v>20</v>
      </c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15"/>
      <c r="AB168" t="s">
        <v>30</v>
      </c>
      <c r="AC168" t="s">
        <v>571</v>
      </c>
      <c r="AD168">
        <v>122.02</v>
      </c>
      <c r="AE168" t="s">
        <v>543</v>
      </c>
      <c r="AG168" t="s">
        <v>543</v>
      </c>
    </row>
    <row r="169" spans="1:33" x14ac:dyDescent="0.25">
      <c r="A169" s="16" t="s">
        <v>490</v>
      </c>
      <c r="B169" s="17" t="s">
        <v>489</v>
      </c>
      <c r="C169" s="17" t="s">
        <v>274</v>
      </c>
      <c r="D169" s="18"/>
      <c r="E169" s="18"/>
      <c r="F169" s="18">
        <v>0</v>
      </c>
      <c r="G169" s="18">
        <v>20</v>
      </c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15"/>
      <c r="AB169" t="s">
        <v>30</v>
      </c>
      <c r="AC169" t="s">
        <v>572</v>
      </c>
      <c r="AD169">
        <v>22.06</v>
      </c>
      <c r="AE169" t="s">
        <v>544</v>
      </c>
      <c r="AF169">
        <v>133.99</v>
      </c>
      <c r="AG169" t="s">
        <v>544</v>
      </c>
    </row>
    <row r="170" spans="1:33" x14ac:dyDescent="0.25">
      <c r="A170" s="13" t="s">
        <v>491</v>
      </c>
      <c r="B170" s="14" t="s">
        <v>492</v>
      </c>
      <c r="C170" s="14" t="s">
        <v>274</v>
      </c>
      <c r="D170" s="10"/>
      <c r="E170" s="10"/>
      <c r="F170" s="10">
        <v>0</v>
      </c>
      <c r="G170" s="10">
        <v>20</v>
      </c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15"/>
      <c r="AB170" t="s">
        <v>30</v>
      </c>
      <c r="AC170" t="s">
        <v>573</v>
      </c>
      <c r="AD170">
        <v>50</v>
      </c>
      <c r="AE170" t="s">
        <v>545</v>
      </c>
      <c r="AG170" t="s">
        <v>545</v>
      </c>
    </row>
    <row r="171" spans="1:33" x14ac:dyDescent="0.25">
      <c r="A171" s="16" t="s">
        <v>493</v>
      </c>
      <c r="B171" s="17" t="s">
        <v>52</v>
      </c>
      <c r="C171" s="17" t="s">
        <v>41</v>
      </c>
      <c r="D171" s="18"/>
      <c r="E171" s="18"/>
      <c r="F171" s="18">
        <v>15</v>
      </c>
      <c r="G171" s="18">
        <v>20</v>
      </c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15"/>
      <c r="AB171" t="s">
        <v>30</v>
      </c>
      <c r="AC171" t="s">
        <v>574</v>
      </c>
      <c r="AD171">
        <v>1193.45</v>
      </c>
      <c r="AE171" t="s">
        <v>546</v>
      </c>
      <c r="AG171" t="s">
        <v>546</v>
      </c>
    </row>
    <row r="172" spans="1:33" x14ac:dyDescent="0.25">
      <c r="A172" s="13" t="s">
        <v>494</v>
      </c>
      <c r="B172" s="14" t="s">
        <v>495</v>
      </c>
      <c r="C172" s="19"/>
      <c r="D172" s="10"/>
      <c r="E172" s="10"/>
      <c r="F172" s="10"/>
      <c r="G172" s="10">
        <v>20</v>
      </c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15"/>
      <c r="AB172" t="s">
        <v>30</v>
      </c>
      <c r="AC172" t="s">
        <v>575</v>
      </c>
      <c r="AD172">
        <v>436.07</v>
      </c>
      <c r="AE172" t="s">
        <v>547</v>
      </c>
      <c r="AG172" t="s">
        <v>547</v>
      </c>
    </row>
    <row r="173" spans="1:33" x14ac:dyDescent="0.25">
      <c r="A173" s="16" t="s">
        <v>496</v>
      </c>
      <c r="B173" s="17" t="s">
        <v>497</v>
      </c>
      <c r="C173" s="17" t="s">
        <v>41</v>
      </c>
      <c r="D173" s="18"/>
      <c r="E173" s="18"/>
      <c r="F173" s="18">
        <v>15</v>
      </c>
      <c r="G173" s="18">
        <v>20</v>
      </c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15"/>
      <c r="AB173" t="s">
        <v>30</v>
      </c>
      <c r="AC173" t="s">
        <v>576</v>
      </c>
      <c r="AE173" t="s">
        <v>548</v>
      </c>
      <c r="AF173">
        <v>89.09</v>
      </c>
      <c r="AG173" t="s">
        <v>548</v>
      </c>
    </row>
    <row r="174" spans="1:33" x14ac:dyDescent="0.25">
      <c r="A174" s="13" t="s">
        <v>498</v>
      </c>
      <c r="B174" s="14" t="s">
        <v>66</v>
      </c>
      <c r="C174" s="14" t="s">
        <v>48</v>
      </c>
      <c r="D174" s="10"/>
      <c r="E174" s="10"/>
      <c r="F174" s="10">
        <v>15</v>
      </c>
      <c r="G174" s="10">
        <v>20</v>
      </c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15"/>
      <c r="AB174" t="s">
        <v>30</v>
      </c>
      <c r="AC174" t="s">
        <v>577</v>
      </c>
      <c r="AE174" t="s">
        <v>549</v>
      </c>
      <c r="AF174">
        <v>23.99</v>
      </c>
      <c r="AG174" t="s">
        <v>549</v>
      </c>
    </row>
    <row r="175" spans="1:33" x14ac:dyDescent="0.25">
      <c r="A175" s="16" t="s">
        <v>499</v>
      </c>
      <c r="B175" s="17" t="s">
        <v>273</v>
      </c>
      <c r="C175" s="17" t="s">
        <v>274</v>
      </c>
      <c r="D175" s="18"/>
      <c r="E175" s="18"/>
      <c r="F175" s="18">
        <v>0</v>
      </c>
      <c r="G175" s="18">
        <v>20</v>
      </c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15"/>
      <c r="AB175" t="s">
        <v>30</v>
      </c>
      <c r="AC175" t="s">
        <v>578</v>
      </c>
      <c r="AE175" t="s">
        <v>550</v>
      </c>
      <c r="AF175">
        <v>244</v>
      </c>
      <c r="AG175" t="s">
        <v>550</v>
      </c>
    </row>
    <row r="176" spans="1:33" x14ac:dyDescent="0.25">
      <c r="A176" s="13" t="s">
        <v>500</v>
      </c>
      <c r="B176" s="14" t="s">
        <v>273</v>
      </c>
      <c r="C176" s="14" t="s">
        <v>274</v>
      </c>
      <c r="D176" s="10"/>
      <c r="E176" s="10"/>
      <c r="F176" s="10">
        <v>0</v>
      </c>
      <c r="G176" s="10">
        <v>20</v>
      </c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15"/>
      <c r="AB176" t="s">
        <v>30</v>
      </c>
      <c r="AC176" t="s">
        <v>579</v>
      </c>
      <c r="AD176">
        <v>347.67</v>
      </c>
      <c r="AE176" t="s">
        <v>551</v>
      </c>
      <c r="AF176">
        <v>149.99</v>
      </c>
      <c r="AG176" t="s">
        <v>551</v>
      </c>
    </row>
    <row r="177" spans="1:33" x14ac:dyDescent="0.25">
      <c r="A177" s="16" t="s">
        <v>501</v>
      </c>
      <c r="B177" s="17" t="s">
        <v>502</v>
      </c>
      <c r="C177" s="17" t="s">
        <v>274</v>
      </c>
      <c r="D177" s="18"/>
      <c r="E177" s="18"/>
      <c r="F177" s="18">
        <v>0</v>
      </c>
      <c r="G177" s="18">
        <v>20</v>
      </c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15"/>
      <c r="AB177" t="s">
        <v>30</v>
      </c>
      <c r="AC177" t="s">
        <v>580</v>
      </c>
      <c r="AD177">
        <v>292.31</v>
      </c>
      <c r="AE177" t="s">
        <v>552</v>
      </c>
      <c r="AF177">
        <v>223.98</v>
      </c>
      <c r="AG177" t="s">
        <v>552</v>
      </c>
    </row>
    <row r="178" spans="1:33" x14ac:dyDescent="0.25">
      <c r="A178" s="13" t="s">
        <v>503</v>
      </c>
      <c r="B178" s="14" t="s">
        <v>504</v>
      </c>
      <c r="C178" s="14" t="s">
        <v>100</v>
      </c>
      <c r="D178" s="10"/>
      <c r="E178" s="10"/>
      <c r="F178" s="10">
        <v>10</v>
      </c>
      <c r="G178" s="10">
        <v>20</v>
      </c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15"/>
      <c r="AB178" t="s">
        <v>30</v>
      </c>
      <c r="AC178" t="s">
        <v>581</v>
      </c>
      <c r="AD178">
        <v>55.79</v>
      </c>
      <c r="AE178" t="s">
        <v>553</v>
      </c>
      <c r="AG178" t="s">
        <v>553</v>
      </c>
    </row>
    <row r="179" spans="1:33" x14ac:dyDescent="0.25">
      <c r="A179" s="16" t="s">
        <v>505</v>
      </c>
      <c r="B179" s="17" t="s">
        <v>506</v>
      </c>
      <c r="C179" s="17" t="s">
        <v>41</v>
      </c>
      <c r="D179" s="18"/>
      <c r="E179" s="18"/>
      <c r="F179" s="18">
        <v>15</v>
      </c>
      <c r="G179" s="18">
        <v>20</v>
      </c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15"/>
      <c r="AB179" t="s">
        <v>30</v>
      </c>
      <c r="AC179" t="s">
        <v>582</v>
      </c>
      <c r="AD179">
        <v>670.47</v>
      </c>
      <c r="AE179" t="s">
        <v>554</v>
      </c>
      <c r="AG179" t="s">
        <v>554</v>
      </c>
    </row>
    <row r="180" spans="1:33" x14ac:dyDescent="0.25">
      <c r="A180" s="13" t="s">
        <v>507</v>
      </c>
      <c r="B180" s="14" t="s">
        <v>508</v>
      </c>
      <c r="C180" s="14" t="s">
        <v>48</v>
      </c>
      <c r="D180" s="10"/>
      <c r="E180" s="10"/>
      <c r="F180" s="10">
        <v>15</v>
      </c>
      <c r="G180" s="10">
        <v>20</v>
      </c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15"/>
      <c r="AB180" t="s">
        <v>30</v>
      </c>
      <c r="AC180" t="s">
        <v>583</v>
      </c>
      <c r="AE180" t="s">
        <v>555</v>
      </c>
      <c r="AF180">
        <v>57.78</v>
      </c>
      <c r="AG180" t="s">
        <v>555</v>
      </c>
    </row>
    <row r="181" spans="1:33" x14ac:dyDescent="0.25">
      <c r="A181" s="16" t="s">
        <v>509</v>
      </c>
      <c r="B181" s="17" t="s">
        <v>510</v>
      </c>
      <c r="C181" s="17" t="s">
        <v>48</v>
      </c>
      <c r="D181" s="18"/>
      <c r="E181" s="18"/>
      <c r="F181" s="18">
        <v>15</v>
      </c>
      <c r="G181" s="18">
        <v>20</v>
      </c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15"/>
      <c r="AB181" t="s">
        <v>30</v>
      </c>
      <c r="AC181" t="s">
        <v>584</v>
      </c>
      <c r="AE181" t="s">
        <v>556</v>
      </c>
      <c r="AF181">
        <v>29.78</v>
      </c>
      <c r="AG181" t="s">
        <v>556</v>
      </c>
    </row>
    <row r="182" spans="1:33" x14ac:dyDescent="0.25">
      <c r="A182" s="13" t="s">
        <v>511</v>
      </c>
      <c r="B182" s="14" t="s">
        <v>512</v>
      </c>
      <c r="C182" s="14" t="s">
        <v>48</v>
      </c>
      <c r="D182" s="10"/>
      <c r="E182" s="10"/>
      <c r="F182" s="10">
        <v>15</v>
      </c>
      <c r="G182" s="10">
        <v>20</v>
      </c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15"/>
      <c r="AB182" t="s">
        <v>30</v>
      </c>
      <c r="AC182" t="s">
        <v>585</v>
      </c>
      <c r="AE182" t="s">
        <v>557</v>
      </c>
      <c r="AF182">
        <v>56.09</v>
      </c>
      <c r="AG182" t="s">
        <v>557</v>
      </c>
    </row>
    <row r="183" spans="1:33" x14ac:dyDescent="0.25">
      <c r="A183" s="16" t="s">
        <v>513</v>
      </c>
      <c r="B183" s="17" t="s">
        <v>514</v>
      </c>
      <c r="C183" s="17" t="s">
        <v>201</v>
      </c>
      <c r="D183" s="18"/>
      <c r="E183" s="18"/>
      <c r="F183" s="18">
        <v>0</v>
      </c>
      <c r="G183" s="18">
        <v>20</v>
      </c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15"/>
      <c r="AB183" t="s">
        <v>30</v>
      </c>
      <c r="AC183" t="s">
        <v>586</v>
      </c>
      <c r="AD183">
        <v>29.2</v>
      </c>
      <c r="AE183" t="s">
        <v>558</v>
      </c>
      <c r="AG183" t="s">
        <v>558</v>
      </c>
    </row>
    <row r="184" spans="1:33" x14ac:dyDescent="0.25">
      <c r="A184" s="13" t="s">
        <v>515</v>
      </c>
      <c r="B184" s="14" t="s">
        <v>516</v>
      </c>
      <c r="C184" s="14" t="s">
        <v>277</v>
      </c>
      <c r="D184" s="10"/>
      <c r="E184" s="10"/>
      <c r="F184" s="10">
        <v>0</v>
      </c>
      <c r="G184" s="10">
        <v>20</v>
      </c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15"/>
      <c r="AB184" t="s">
        <v>30</v>
      </c>
      <c r="AC184" t="s">
        <v>587</v>
      </c>
      <c r="AD184">
        <v>62.87</v>
      </c>
      <c r="AE184" t="s">
        <v>559</v>
      </c>
      <c r="AF184">
        <v>32.99</v>
      </c>
      <c r="AG184" t="s">
        <v>559</v>
      </c>
    </row>
    <row r="185" spans="1:33" x14ac:dyDescent="0.25">
      <c r="A185" s="16" t="s">
        <v>517</v>
      </c>
      <c r="B185" s="17" t="s">
        <v>518</v>
      </c>
      <c r="C185" s="17" t="s">
        <v>277</v>
      </c>
      <c r="D185" s="18"/>
      <c r="E185" s="18"/>
      <c r="F185" s="18">
        <v>0</v>
      </c>
      <c r="G185" s="18">
        <v>20</v>
      </c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15"/>
      <c r="AB185" t="s">
        <v>30</v>
      </c>
      <c r="AC185" t="s">
        <v>588</v>
      </c>
      <c r="AE185" t="s">
        <v>560</v>
      </c>
      <c r="AF185">
        <v>24.54</v>
      </c>
      <c r="AG185" t="s">
        <v>560</v>
      </c>
    </row>
    <row r="186" spans="1:33" x14ac:dyDescent="0.25">
      <c r="A186" s="13" t="s">
        <v>519</v>
      </c>
      <c r="B186" s="14" t="s">
        <v>520</v>
      </c>
      <c r="C186" s="14" t="s">
        <v>274</v>
      </c>
      <c r="D186" s="10"/>
      <c r="E186" s="10"/>
      <c r="F186" s="10">
        <v>0</v>
      </c>
      <c r="G186" s="10">
        <v>20</v>
      </c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15"/>
      <c r="AB186" t="s">
        <v>30</v>
      </c>
      <c r="AC186" t="s">
        <v>589</v>
      </c>
      <c r="AD186">
        <v>29.96</v>
      </c>
      <c r="AE186" t="s">
        <v>561</v>
      </c>
      <c r="AG186" t="s">
        <v>561</v>
      </c>
    </row>
    <row r="187" spans="1:33" x14ac:dyDescent="0.25">
      <c r="A187" s="16" t="s">
        <v>521</v>
      </c>
      <c r="B187" s="17" t="s">
        <v>522</v>
      </c>
      <c r="C187" s="17" t="s">
        <v>277</v>
      </c>
      <c r="D187" s="18"/>
      <c r="E187" s="18"/>
      <c r="F187" s="18">
        <v>0</v>
      </c>
      <c r="G187" s="18">
        <v>20</v>
      </c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15"/>
      <c r="AB187" t="s">
        <v>30</v>
      </c>
      <c r="AC187" t="s">
        <v>590</v>
      </c>
      <c r="AE187" t="s">
        <v>562</v>
      </c>
      <c r="AF187">
        <v>21.59</v>
      </c>
      <c r="AG187" t="s">
        <v>562</v>
      </c>
    </row>
    <row r="188" spans="1:33" x14ac:dyDescent="0.25">
      <c r="A188" s="13" t="s">
        <v>523</v>
      </c>
      <c r="B188" s="14" t="s">
        <v>524</v>
      </c>
      <c r="C188" s="14" t="s">
        <v>274</v>
      </c>
      <c r="D188" s="10"/>
      <c r="E188" s="10"/>
      <c r="F188" s="10">
        <v>0</v>
      </c>
      <c r="G188" s="10">
        <v>20</v>
      </c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15"/>
      <c r="AB188" t="s">
        <v>30</v>
      </c>
      <c r="AC188" t="s">
        <v>591</v>
      </c>
      <c r="AD188">
        <v>33.75</v>
      </c>
      <c r="AE188" t="s">
        <v>563</v>
      </c>
      <c r="AG188" t="s">
        <v>563</v>
      </c>
    </row>
    <row r="189" spans="1:33" x14ac:dyDescent="0.25">
      <c r="A189" s="16" t="s">
        <v>525</v>
      </c>
      <c r="B189" s="17" t="s">
        <v>526</v>
      </c>
      <c r="C189" s="17" t="s">
        <v>274</v>
      </c>
      <c r="D189" s="18"/>
      <c r="E189" s="18"/>
      <c r="F189" s="18">
        <v>0</v>
      </c>
      <c r="G189" s="18">
        <v>20</v>
      </c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15"/>
      <c r="AB189" t="s">
        <v>30</v>
      </c>
      <c r="AC189" t="s">
        <v>592</v>
      </c>
      <c r="AD189">
        <v>40.590000000000003</v>
      </c>
      <c r="AE189" t="s">
        <v>564</v>
      </c>
      <c r="AF189">
        <v>90.11</v>
      </c>
      <c r="AG189" t="s">
        <v>564</v>
      </c>
    </row>
    <row r="190" spans="1:33" x14ac:dyDescent="0.25">
      <c r="A190" s="13" t="s">
        <v>527</v>
      </c>
      <c r="B190" s="14" t="s">
        <v>528</v>
      </c>
      <c r="C190" s="14" t="s">
        <v>277</v>
      </c>
      <c r="D190" s="10"/>
      <c r="E190" s="10"/>
      <c r="F190" s="10">
        <v>0</v>
      </c>
      <c r="G190" s="10">
        <v>20</v>
      </c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15"/>
      <c r="AB190" t="s">
        <v>30</v>
      </c>
      <c r="AC190" t="s">
        <v>593</v>
      </c>
      <c r="AE190" t="s">
        <v>537</v>
      </c>
      <c r="AG190" t="s">
        <v>537</v>
      </c>
    </row>
    <row r="191" spans="1:33" x14ac:dyDescent="0.25">
      <c r="A191" s="16" t="s">
        <v>529</v>
      </c>
      <c r="B191" s="17" t="s">
        <v>530</v>
      </c>
      <c r="C191" s="17" t="s">
        <v>170</v>
      </c>
      <c r="D191" s="18"/>
      <c r="E191" s="18"/>
      <c r="F191" s="18">
        <v>0</v>
      </c>
      <c r="G191" s="18">
        <v>20</v>
      </c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15"/>
      <c r="AB191" t="s">
        <v>30</v>
      </c>
      <c r="AC191" t="s">
        <v>594</v>
      </c>
      <c r="AE191" t="s">
        <v>565</v>
      </c>
      <c r="AF191">
        <v>10.31</v>
      </c>
      <c r="AG191" t="s">
        <v>565</v>
      </c>
    </row>
    <row r="192" spans="1:33" x14ac:dyDescent="0.25">
      <c r="A192" s="13" t="s">
        <v>531</v>
      </c>
      <c r="B192" s="14" t="s">
        <v>532</v>
      </c>
      <c r="C192" s="14" t="s">
        <v>533</v>
      </c>
      <c r="D192" s="10"/>
      <c r="E192" s="10"/>
      <c r="F192" s="10">
        <v>0</v>
      </c>
      <c r="G192" s="10">
        <v>20</v>
      </c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15"/>
      <c r="AB192" t="s">
        <v>30</v>
      </c>
      <c r="AC192" t="s">
        <v>595</v>
      </c>
      <c r="AD192">
        <v>45.63</v>
      </c>
      <c r="AE192" t="s">
        <v>566</v>
      </c>
      <c r="AG192" t="s">
        <v>566</v>
      </c>
    </row>
    <row r="193" spans="1:33" x14ac:dyDescent="0.25">
      <c r="A193" s="16" t="s">
        <v>534</v>
      </c>
      <c r="B193" s="17" t="s">
        <v>535</v>
      </c>
      <c r="C193" s="17" t="s">
        <v>536</v>
      </c>
      <c r="D193" s="18"/>
      <c r="E193" s="18"/>
      <c r="F193" s="18">
        <v>0</v>
      </c>
      <c r="G193" s="18">
        <v>20</v>
      </c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15"/>
      <c r="AB193" t="s">
        <v>30</v>
      </c>
      <c r="AE193" t="s">
        <v>538</v>
      </c>
      <c r="AG193" t="s">
        <v>538</v>
      </c>
    </row>
    <row r="194" spans="1:33" ht="8.1" customHeight="1" thickBot="1" x14ac:dyDescent="0.3"/>
    <row r="195" spans="1:33" x14ac:dyDescent="0.25">
      <c r="A195" s="30" t="s">
        <v>597</v>
      </c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</row>
    <row r="196" spans="1:33" x14ac:dyDescent="0.25">
      <c r="A196" s="13" t="s">
        <v>598</v>
      </c>
      <c r="B196" s="14" t="s">
        <v>599</v>
      </c>
      <c r="C196" s="19"/>
      <c r="D196" s="10"/>
      <c r="E196" s="10"/>
      <c r="F196" s="10"/>
      <c r="G196" s="10">
        <v>20</v>
      </c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15"/>
      <c r="Z196">
        <v>278.33</v>
      </c>
      <c r="AA196">
        <v>190.38</v>
      </c>
      <c r="AB196" t="s">
        <v>30</v>
      </c>
      <c r="AC196" t="s">
        <v>614</v>
      </c>
      <c r="AE196" t="s">
        <v>609</v>
      </c>
      <c r="AF196">
        <v>84.99</v>
      </c>
      <c r="AG196" t="s">
        <v>609</v>
      </c>
    </row>
    <row r="197" spans="1:33" x14ac:dyDescent="0.25">
      <c r="A197" s="16" t="s">
        <v>600</v>
      </c>
      <c r="B197" s="17" t="s">
        <v>601</v>
      </c>
      <c r="C197" s="19"/>
      <c r="D197" s="18"/>
      <c r="E197" s="18"/>
      <c r="F197" s="18"/>
      <c r="G197" s="18">
        <v>20</v>
      </c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15"/>
      <c r="AB197" t="s">
        <v>30</v>
      </c>
      <c r="AC197" t="s">
        <v>615</v>
      </c>
      <c r="AE197" t="s">
        <v>610</v>
      </c>
      <c r="AG197" t="s">
        <v>610</v>
      </c>
    </row>
    <row r="198" spans="1:33" x14ac:dyDescent="0.25">
      <c r="A198" s="13" t="s">
        <v>602</v>
      </c>
      <c r="B198" s="14" t="s">
        <v>603</v>
      </c>
      <c r="C198" s="14" t="s">
        <v>41</v>
      </c>
      <c r="D198" s="10"/>
      <c r="E198" s="10"/>
      <c r="F198" s="10">
        <v>15</v>
      </c>
      <c r="G198" s="10">
        <v>20</v>
      </c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15"/>
      <c r="AB198" t="s">
        <v>30</v>
      </c>
      <c r="AC198" t="s">
        <v>616</v>
      </c>
      <c r="AE198" t="s">
        <v>611</v>
      </c>
      <c r="AG198" t="s">
        <v>611</v>
      </c>
    </row>
    <row r="199" spans="1:33" x14ac:dyDescent="0.25">
      <c r="A199" s="16" t="s">
        <v>604</v>
      </c>
      <c r="B199" s="17" t="s">
        <v>605</v>
      </c>
      <c r="C199" s="17" t="s">
        <v>606</v>
      </c>
      <c r="D199" s="18"/>
      <c r="E199" s="18"/>
      <c r="F199" s="18">
        <v>0</v>
      </c>
      <c r="G199" s="18">
        <v>20</v>
      </c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15"/>
      <c r="AB199" t="s">
        <v>30</v>
      </c>
      <c r="AC199" t="s">
        <v>617</v>
      </c>
      <c r="AE199" t="s">
        <v>612</v>
      </c>
      <c r="AG199" t="s">
        <v>612</v>
      </c>
    </row>
    <row r="200" spans="1:33" x14ac:dyDescent="0.25">
      <c r="A200" s="13" t="s">
        <v>607</v>
      </c>
      <c r="B200" s="14" t="s">
        <v>608</v>
      </c>
      <c r="C200" s="14" t="s">
        <v>357</v>
      </c>
      <c r="D200" s="10"/>
      <c r="E200" s="10"/>
      <c r="F200" s="10">
        <v>0</v>
      </c>
      <c r="G200" s="10">
        <v>20</v>
      </c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15"/>
      <c r="Z200">
        <v>318.33</v>
      </c>
      <c r="AA200">
        <v>215.83</v>
      </c>
      <c r="AB200" t="s">
        <v>30</v>
      </c>
      <c r="AC200" t="s">
        <v>618</v>
      </c>
      <c r="AD200">
        <v>270.87</v>
      </c>
      <c r="AE200" t="s">
        <v>613</v>
      </c>
      <c r="AG200" t="s">
        <v>613</v>
      </c>
    </row>
    <row r="201" spans="1:33" ht="8.1" customHeight="1" thickBot="1" x14ac:dyDescent="0.3"/>
    <row r="202" spans="1:33" x14ac:dyDescent="0.25">
      <c r="A202" s="30" t="s">
        <v>619</v>
      </c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</row>
    <row r="203" spans="1:33" x14ac:dyDescent="0.25">
      <c r="A203" s="13" t="s">
        <v>620</v>
      </c>
      <c r="B203" s="14" t="s">
        <v>354</v>
      </c>
      <c r="C203" s="14" t="s">
        <v>41</v>
      </c>
      <c r="D203" s="10"/>
      <c r="E203" s="10">
        <v>0.24</v>
      </c>
      <c r="F203" s="10">
        <v>15</v>
      </c>
      <c r="G203" s="10">
        <v>20</v>
      </c>
      <c r="H203" s="8"/>
      <c r="I203" s="8">
        <v>0.96</v>
      </c>
      <c r="J203" s="8"/>
      <c r="K203" s="8"/>
      <c r="L203" s="8"/>
      <c r="M203" s="8"/>
      <c r="N203" s="8"/>
      <c r="O203" s="8"/>
      <c r="P203" s="8">
        <v>1.0211999999999999</v>
      </c>
      <c r="Q203" s="8">
        <v>2.7572399999999997E-2</v>
      </c>
      <c r="R203" s="8">
        <v>1.7360399999999998E-2</v>
      </c>
      <c r="S203" s="8">
        <v>0.23657142857142852</v>
      </c>
      <c r="T203" s="8">
        <v>1.3027042285714283</v>
      </c>
      <c r="U203" s="8"/>
      <c r="V203" s="8"/>
      <c r="W203" s="8"/>
      <c r="X203" s="15"/>
      <c r="AA203">
        <v>117.51</v>
      </c>
      <c r="AB203" t="s">
        <v>30</v>
      </c>
      <c r="AC203" t="s">
        <v>655</v>
      </c>
      <c r="AD203">
        <v>85.09</v>
      </c>
      <c r="AE203" t="s">
        <v>641</v>
      </c>
      <c r="AF203">
        <v>57.84</v>
      </c>
      <c r="AG203" t="s">
        <v>641</v>
      </c>
    </row>
    <row r="204" spans="1:33" x14ac:dyDescent="0.25">
      <c r="A204" s="16" t="s">
        <v>621</v>
      </c>
      <c r="B204" s="17" t="s">
        <v>622</v>
      </c>
      <c r="C204" s="17" t="s">
        <v>536</v>
      </c>
      <c r="D204" s="18"/>
      <c r="E204" s="18">
        <v>2.4E-2</v>
      </c>
      <c r="F204" s="18">
        <v>0</v>
      </c>
      <c r="G204" s="18">
        <v>20</v>
      </c>
      <c r="H204" s="8"/>
      <c r="I204" s="8">
        <v>9.6000000000000002E-2</v>
      </c>
      <c r="J204" s="8"/>
      <c r="K204" s="8"/>
      <c r="L204" s="8"/>
      <c r="M204" s="8"/>
      <c r="N204" s="8"/>
      <c r="O204" s="8"/>
      <c r="P204" s="8">
        <v>0.10212</v>
      </c>
      <c r="Q204" s="8">
        <v>2.7572400000000002E-3</v>
      </c>
      <c r="R204" s="8">
        <v>1.7360400000000001E-3</v>
      </c>
      <c r="S204" s="8">
        <v>2.3657142857142856E-2</v>
      </c>
      <c r="T204" s="8">
        <v>0.13027042285714285</v>
      </c>
      <c r="U204" s="8"/>
      <c r="V204" s="8"/>
      <c r="W204" s="8"/>
      <c r="X204" s="15"/>
      <c r="AA204">
        <v>150.28</v>
      </c>
      <c r="AB204" t="s">
        <v>30</v>
      </c>
      <c r="AC204" t="s">
        <v>656</v>
      </c>
      <c r="AE204" t="s">
        <v>642</v>
      </c>
      <c r="AF204">
        <v>33.69</v>
      </c>
      <c r="AG204" t="s">
        <v>642</v>
      </c>
    </row>
    <row r="205" spans="1:33" x14ac:dyDescent="0.25">
      <c r="A205" s="13" t="s">
        <v>623</v>
      </c>
      <c r="B205" s="14" t="s">
        <v>624</v>
      </c>
      <c r="C205" s="14" t="s">
        <v>201</v>
      </c>
      <c r="D205" s="10"/>
      <c r="E205" s="10">
        <v>7.4999999999999997E-2</v>
      </c>
      <c r="F205" s="10">
        <v>0</v>
      </c>
      <c r="G205" s="10">
        <v>20</v>
      </c>
      <c r="H205" s="8"/>
      <c r="I205" s="8">
        <v>0.3</v>
      </c>
      <c r="J205" s="8"/>
      <c r="K205" s="8"/>
      <c r="L205" s="8"/>
      <c r="M205" s="8"/>
      <c r="N205" s="8"/>
      <c r="O205" s="8"/>
      <c r="P205" s="8">
        <v>0.31912499999999999</v>
      </c>
      <c r="Q205" s="8">
        <v>8.616374999999999E-3</v>
      </c>
      <c r="R205" s="8">
        <v>5.4251250000000003E-3</v>
      </c>
      <c r="S205" s="8">
        <v>7.3928571428571413E-2</v>
      </c>
      <c r="T205" s="8">
        <v>0.40709507142857138</v>
      </c>
      <c r="U205" s="8"/>
      <c r="V205" s="8"/>
      <c r="W205" s="8"/>
      <c r="X205" s="15"/>
      <c r="AA205">
        <v>104.16</v>
      </c>
      <c r="AB205" t="s">
        <v>30</v>
      </c>
      <c r="AC205" t="s">
        <v>657</v>
      </c>
      <c r="AD205">
        <v>46.78</v>
      </c>
      <c r="AE205" t="s">
        <v>643</v>
      </c>
      <c r="AF205">
        <v>67.19</v>
      </c>
      <c r="AG205" t="s">
        <v>643</v>
      </c>
    </row>
    <row r="206" spans="1:33" x14ac:dyDescent="0.25">
      <c r="A206" s="16" t="s">
        <v>625</v>
      </c>
      <c r="B206" s="17" t="s">
        <v>626</v>
      </c>
      <c r="C206" s="17" t="s">
        <v>125</v>
      </c>
      <c r="D206" s="18"/>
      <c r="E206" s="18">
        <v>0.29299999999999998</v>
      </c>
      <c r="F206" s="18">
        <v>0</v>
      </c>
      <c r="G206" s="18">
        <v>20</v>
      </c>
      <c r="H206" s="8"/>
      <c r="I206" s="8">
        <v>1.1719999999999999</v>
      </c>
      <c r="J206" s="8"/>
      <c r="K206" s="8"/>
      <c r="L206" s="8"/>
      <c r="M206" s="8"/>
      <c r="N206" s="8"/>
      <c r="O206" s="8"/>
      <c r="P206" s="8">
        <v>1.246715</v>
      </c>
      <c r="Q206" s="8">
        <v>3.3661305000000002E-2</v>
      </c>
      <c r="R206" s="8">
        <v>2.1194155000000003E-2</v>
      </c>
      <c r="S206" s="8">
        <v>0.28881428571428563</v>
      </c>
      <c r="T206" s="8">
        <v>1.5903847457142859</v>
      </c>
      <c r="U206" s="8"/>
      <c r="V206" s="8"/>
      <c r="W206" s="8"/>
      <c r="X206" s="15"/>
      <c r="AA206">
        <v>249.53</v>
      </c>
      <c r="AB206" t="s">
        <v>30</v>
      </c>
      <c r="AC206" t="s">
        <v>658</v>
      </c>
      <c r="AD206">
        <v>391.95</v>
      </c>
      <c r="AE206" t="s">
        <v>644</v>
      </c>
      <c r="AF206">
        <v>20.99</v>
      </c>
      <c r="AG206" t="s">
        <v>644</v>
      </c>
    </row>
    <row r="207" spans="1:33" x14ac:dyDescent="0.25">
      <c r="A207" s="13" t="s">
        <v>627</v>
      </c>
      <c r="B207" s="14" t="s">
        <v>211</v>
      </c>
      <c r="C207" s="14" t="s">
        <v>125</v>
      </c>
      <c r="D207" s="10"/>
      <c r="E207" s="10">
        <v>4.1420000000000003</v>
      </c>
      <c r="F207" s="10">
        <v>0</v>
      </c>
      <c r="G207" s="10">
        <v>20</v>
      </c>
      <c r="H207" s="8"/>
      <c r="I207" s="8">
        <v>16.568000000000001</v>
      </c>
      <c r="J207" s="8"/>
      <c r="K207" s="8"/>
      <c r="L207" s="8"/>
      <c r="M207" s="8"/>
      <c r="N207" s="8"/>
      <c r="O207" s="8"/>
      <c r="P207" s="8">
        <v>17.624210000000001</v>
      </c>
      <c r="Q207" s="8">
        <v>0.47585367000000006</v>
      </c>
      <c r="R207" s="8">
        <v>0.29961157000000005</v>
      </c>
      <c r="S207" s="8">
        <v>4.0828285714285713</v>
      </c>
      <c r="T207" s="8">
        <v>22.482503811428572</v>
      </c>
      <c r="U207" s="8"/>
      <c r="V207" s="8"/>
      <c r="W207" s="8"/>
      <c r="X207" s="15"/>
      <c r="AA207">
        <v>383.1</v>
      </c>
      <c r="AB207" t="s">
        <v>30</v>
      </c>
      <c r="AC207" t="s">
        <v>659</v>
      </c>
      <c r="AD207">
        <v>540.01</v>
      </c>
      <c r="AE207" t="s">
        <v>645</v>
      </c>
      <c r="AG207" t="s">
        <v>645</v>
      </c>
    </row>
    <row r="208" spans="1:33" x14ac:dyDescent="0.25">
      <c r="A208" s="16" t="s">
        <v>628</v>
      </c>
      <c r="B208" s="17" t="s">
        <v>124</v>
      </c>
      <c r="C208" s="17" t="s">
        <v>125</v>
      </c>
      <c r="D208" s="18"/>
      <c r="E208" s="18">
        <v>4.141</v>
      </c>
      <c r="F208" s="18">
        <v>0</v>
      </c>
      <c r="G208" s="18">
        <v>20</v>
      </c>
      <c r="H208" s="8"/>
      <c r="I208" s="8">
        <v>16.564</v>
      </c>
      <c r="J208" s="8"/>
      <c r="K208" s="8"/>
      <c r="L208" s="8"/>
      <c r="M208" s="8"/>
      <c r="N208" s="8"/>
      <c r="O208" s="8"/>
      <c r="P208" s="8">
        <v>17.619955000000001</v>
      </c>
      <c r="Q208" s="8">
        <v>0.475738785</v>
      </c>
      <c r="R208" s="8">
        <v>0.29953923500000001</v>
      </c>
      <c r="S208" s="8">
        <v>4.0818428571428571</v>
      </c>
      <c r="T208" s="8">
        <v>22.477075877142859</v>
      </c>
      <c r="U208" s="8"/>
      <c r="V208" s="8"/>
      <c r="W208" s="8"/>
      <c r="X208" s="15"/>
      <c r="AA208">
        <v>472.5</v>
      </c>
      <c r="AB208" t="s">
        <v>30</v>
      </c>
      <c r="AC208" t="s">
        <v>660</v>
      </c>
      <c r="AD208">
        <v>558.11</v>
      </c>
      <c r="AE208" t="s">
        <v>646</v>
      </c>
      <c r="AG208" t="s">
        <v>646</v>
      </c>
    </row>
    <row r="209" spans="1:33" x14ac:dyDescent="0.25">
      <c r="A209" s="13" t="s">
        <v>629</v>
      </c>
      <c r="B209" s="14" t="s">
        <v>52</v>
      </c>
      <c r="C209" s="14" t="s">
        <v>41</v>
      </c>
      <c r="D209" s="10"/>
      <c r="E209" s="10">
        <v>3.3940000000000001</v>
      </c>
      <c r="F209" s="10">
        <v>15</v>
      </c>
      <c r="G209" s="10">
        <v>20</v>
      </c>
      <c r="H209" s="8"/>
      <c r="I209" s="8">
        <v>13.576000000000001</v>
      </c>
      <c r="J209" s="8"/>
      <c r="K209" s="8"/>
      <c r="L209" s="8"/>
      <c r="M209" s="8"/>
      <c r="N209" s="8"/>
      <c r="O209" s="8"/>
      <c r="P209" s="8">
        <v>14.441469999999999</v>
      </c>
      <c r="Q209" s="8">
        <v>0.38991968999999999</v>
      </c>
      <c r="R209" s="8">
        <v>0.24550499000000001</v>
      </c>
      <c r="S209" s="8">
        <v>3.3455142857142857</v>
      </c>
      <c r="T209" s="8">
        <v>18.422408965714283</v>
      </c>
      <c r="U209" s="8"/>
      <c r="V209" s="8"/>
      <c r="W209" s="8"/>
      <c r="X209" s="15"/>
      <c r="AA209">
        <v>359.39</v>
      </c>
      <c r="AB209" t="s">
        <v>30</v>
      </c>
      <c r="AC209" t="s">
        <v>661</v>
      </c>
      <c r="AE209" t="s">
        <v>647</v>
      </c>
      <c r="AF209">
        <v>175.99</v>
      </c>
      <c r="AG209" t="s">
        <v>647</v>
      </c>
    </row>
    <row r="210" spans="1:33" x14ac:dyDescent="0.25">
      <c r="A210" s="16" t="s">
        <v>630</v>
      </c>
      <c r="B210" s="17" t="s">
        <v>363</v>
      </c>
      <c r="C210" s="19"/>
      <c r="D210" s="18"/>
      <c r="E210" s="18">
        <v>0.33400000000000002</v>
      </c>
      <c r="F210" s="18"/>
      <c r="G210" s="18">
        <v>20</v>
      </c>
      <c r="H210" s="8"/>
      <c r="I210" s="8">
        <v>1.3360000000000001</v>
      </c>
      <c r="J210" s="8"/>
      <c r="K210" s="8"/>
      <c r="L210" s="8"/>
      <c r="M210" s="8"/>
      <c r="N210" s="8"/>
      <c r="O210" s="8"/>
      <c r="P210" s="8">
        <v>1.4211700000000003</v>
      </c>
      <c r="Q210" s="8">
        <v>3.8371590000000004E-2</v>
      </c>
      <c r="R210" s="8">
        <v>2.4159890000000007E-2</v>
      </c>
      <c r="S210" s="8">
        <v>0.32922857142857143</v>
      </c>
      <c r="T210" s="8">
        <v>1.8129300514285716</v>
      </c>
      <c r="U210" s="8"/>
      <c r="V210" s="8"/>
      <c r="W210" s="8"/>
      <c r="X210" s="15"/>
      <c r="AA210">
        <v>116.38</v>
      </c>
      <c r="AB210" t="s">
        <v>30</v>
      </c>
      <c r="AC210" t="s">
        <v>662</v>
      </c>
      <c r="AD210">
        <v>45.15</v>
      </c>
      <c r="AE210" t="s">
        <v>648</v>
      </c>
      <c r="AF210">
        <v>29.38</v>
      </c>
      <c r="AG210" t="s">
        <v>648</v>
      </c>
    </row>
    <row r="211" spans="1:33" x14ac:dyDescent="0.25">
      <c r="A211" s="13" t="s">
        <v>631</v>
      </c>
      <c r="B211" s="14" t="s">
        <v>632</v>
      </c>
      <c r="C211" s="14" t="s">
        <v>48</v>
      </c>
      <c r="D211" s="10"/>
      <c r="E211" s="10">
        <v>6.8000000000000005E-2</v>
      </c>
      <c r="F211" s="10">
        <v>15</v>
      </c>
      <c r="G211" s="10">
        <v>20</v>
      </c>
      <c r="H211" s="8"/>
      <c r="I211" s="8">
        <v>0.27200000000000002</v>
      </c>
      <c r="J211" s="8"/>
      <c r="K211" s="8"/>
      <c r="L211" s="8"/>
      <c r="M211" s="8"/>
      <c r="N211" s="8"/>
      <c r="O211" s="8"/>
      <c r="P211" s="8">
        <v>0.28934000000000004</v>
      </c>
      <c r="Q211" s="8">
        <v>7.812180000000001E-3</v>
      </c>
      <c r="R211" s="8">
        <v>4.9187800000000011E-3</v>
      </c>
      <c r="S211" s="8">
        <v>6.7028571428571423E-2</v>
      </c>
      <c r="T211" s="8">
        <v>0.36909953142857149</v>
      </c>
      <c r="U211" s="8"/>
      <c r="V211" s="8"/>
      <c r="W211" s="8"/>
      <c r="X211" s="15"/>
      <c r="AA211">
        <v>121.11</v>
      </c>
      <c r="AB211" t="s">
        <v>30</v>
      </c>
      <c r="AC211" t="s">
        <v>663</v>
      </c>
      <c r="AD211">
        <v>32.159999999999997</v>
      </c>
      <c r="AE211" t="s">
        <v>649</v>
      </c>
      <c r="AF211">
        <v>31.55</v>
      </c>
      <c r="AG211" t="s">
        <v>649</v>
      </c>
    </row>
    <row r="212" spans="1:33" x14ac:dyDescent="0.25">
      <c r="A212" s="16" t="s">
        <v>633</v>
      </c>
      <c r="B212" s="17" t="s">
        <v>634</v>
      </c>
      <c r="C212" s="17" t="s">
        <v>80</v>
      </c>
      <c r="D212" s="18"/>
      <c r="E212" s="18">
        <v>9.0999999999999998E-2</v>
      </c>
      <c r="F212" s="18">
        <v>8</v>
      </c>
      <c r="G212" s="18">
        <v>20</v>
      </c>
      <c r="H212" s="8"/>
      <c r="I212" s="8">
        <v>0.36399999999999999</v>
      </c>
      <c r="J212" s="8"/>
      <c r="K212" s="8"/>
      <c r="L212" s="8"/>
      <c r="M212" s="8"/>
      <c r="N212" s="8"/>
      <c r="O212" s="8"/>
      <c r="P212" s="8">
        <v>0.38720499999999997</v>
      </c>
      <c r="Q212" s="8">
        <v>1.0454534999999999E-2</v>
      </c>
      <c r="R212" s="8">
        <v>6.5824849999999999E-3</v>
      </c>
      <c r="S212" s="8">
        <v>8.9699999999999988E-2</v>
      </c>
      <c r="T212" s="8">
        <v>0.49394201999999998</v>
      </c>
      <c r="U212" s="8"/>
      <c r="V212" s="8"/>
      <c r="W212" s="8"/>
      <c r="X212" s="15"/>
      <c r="AA212">
        <v>134.57</v>
      </c>
      <c r="AB212" t="s">
        <v>30</v>
      </c>
      <c r="AC212" t="s">
        <v>664</v>
      </c>
      <c r="AD212">
        <v>68.22</v>
      </c>
      <c r="AE212" t="s">
        <v>650</v>
      </c>
      <c r="AG212" t="s">
        <v>650</v>
      </c>
    </row>
    <row r="213" spans="1:33" x14ac:dyDescent="0.25">
      <c r="A213" s="13" t="s">
        <v>635</v>
      </c>
      <c r="B213" s="14" t="s">
        <v>636</v>
      </c>
      <c r="C213" s="14" t="s">
        <v>125</v>
      </c>
      <c r="D213" s="10"/>
      <c r="E213" s="10">
        <v>0.106</v>
      </c>
      <c r="F213" s="10">
        <v>0</v>
      </c>
      <c r="G213" s="10">
        <v>20</v>
      </c>
      <c r="H213" s="8"/>
      <c r="I213" s="8">
        <v>0.42399999999999999</v>
      </c>
      <c r="J213" s="8"/>
      <c r="K213" s="8"/>
      <c r="L213" s="8"/>
      <c r="M213" s="8"/>
      <c r="N213" s="8"/>
      <c r="O213" s="8"/>
      <c r="P213" s="8">
        <v>0.45102999999999993</v>
      </c>
      <c r="Q213" s="8">
        <v>1.2177809999999997E-2</v>
      </c>
      <c r="R213" s="8">
        <v>7.6675099999999998E-3</v>
      </c>
      <c r="S213" s="8">
        <v>0.10448571428571427</v>
      </c>
      <c r="T213" s="8">
        <v>0.57536103428571417</v>
      </c>
      <c r="U213" s="8"/>
      <c r="V213" s="8"/>
      <c r="W213" s="8"/>
      <c r="X213" s="15"/>
      <c r="AA213">
        <v>145.59</v>
      </c>
      <c r="AB213" t="s">
        <v>30</v>
      </c>
      <c r="AC213" t="s">
        <v>665</v>
      </c>
      <c r="AD213">
        <v>65.89</v>
      </c>
      <c r="AE213" t="s">
        <v>651</v>
      </c>
      <c r="AF213">
        <v>37.04</v>
      </c>
      <c r="AG213" t="s">
        <v>651</v>
      </c>
    </row>
    <row r="214" spans="1:33" x14ac:dyDescent="0.25">
      <c r="A214" s="16" t="s">
        <v>637</v>
      </c>
      <c r="B214" s="17" t="s">
        <v>276</v>
      </c>
      <c r="C214" s="17" t="s">
        <v>41</v>
      </c>
      <c r="D214" s="18"/>
      <c r="E214" s="18">
        <v>0.121</v>
      </c>
      <c r="F214" s="18">
        <v>15</v>
      </c>
      <c r="G214" s="18">
        <v>20</v>
      </c>
      <c r="H214" s="8"/>
      <c r="I214" s="8">
        <v>0.48399999999999999</v>
      </c>
      <c r="J214" s="8"/>
      <c r="K214" s="8"/>
      <c r="L214" s="8"/>
      <c r="M214" s="8"/>
      <c r="N214" s="8"/>
      <c r="O214" s="8"/>
      <c r="P214" s="8">
        <v>0.51485499999999995</v>
      </c>
      <c r="Q214" s="8">
        <v>1.3901084999999999E-2</v>
      </c>
      <c r="R214" s="8">
        <v>8.7525350000000005E-3</v>
      </c>
      <c r="S214" s="8">
        <v>0.11927142857142856</v>
      </c>
      <c r="T214" s="8">
        <v>0.65678004857142847</v>
      </c>
      <c r="U214" s="8"/>
      <c r="V214" s="8"/>
      <c r="W214" s="8"/>
      <c r="X214" s="15"/>
      <c r="AA214">
        <v>170.95</v>
      </c>
      <c r="AB214" t="s">
        <v>30</v>
      </c>
      <c r="AC214" t="s">
        <v>666</v>
      </c>
      <c r="AE214" t="s">
        <v>652</v>
      </c>
      <c r="AF214">
        <v>13.73</v>
      </c>
      <c r="AG214" t="s">
        <v>652</v>
      </c>
    </row>
    <row r="215" spans="1:33" x14ac:dyDescent="0.25">
      <c r="A215" s="13" t="s">
        <v>638</v>
      </c>
      <c r="B215" s="14" t="s">
        <v>383</v>
      </c>
      <c r="C215" s="14" t="s">
        <v>48</v>
      </c>
      <c r="D215" s="10"/>
      <c r="E215" s="10">
        <v>3</v>
      </c>
      <c r="F215" s="10">
        <v>15</v>
      </c>
      <c r="G215" s="10">
        <v>20</v>
      </c>
      <c r="H215" s="8"/>
      <c r="I215" s="8">
        <v>12</v>
      </c>
      <c r="J215" s="8"/>
      <c r="K215" s="8"/>
      <c r="L215" s="8"/>
      <c r="M215" s="8"/>
      <c r="N215" s="8"/>
      <c r="O215" s="8"/>
      <c r="P215" s="8">
        <v>12.765000000000001</v>
      </c>
      <c r="Q215" s="8">
        <v>0.34465499999999999</v>
      </c>
      <c r="R215" s="8">
        <v>0.21700500000000003</v>
      </c>
      <c r="S215" s="8">
        <v>2.9571428571428564</v>
      </c>
      <c r="T215" s="8">
        <v>16.283802857142856</v>
      </c>
      <c r="U215" s="8"/>
      <c r="V215" s="8"/>
      <c r="W215" s="8"/>
      <c r="X215" s="15"/>
      <c r="AA215">
        <v>338.64</v>
      </c>
      <c r="AB215" t="s">
        <v>30</v>
      </c>
      <c r="AC215" t="s">
        <v>667</v>
      </c>
      <c r="AD215">
        <v>875.5</v>
      </c>
      <c r="AE215" t="s">
        <v>653</v>
      </c>
      <c r="AG215" t="s">
        <v>653</v>
      </c>
    </row>
    <row r="216" spans="1:33" x14ac:dyDescent="0.25">
      <c r="A216" s="16" t="s">
        <v>639</v>
      </c>
      <c r="B216" s="17" t="s">
        <v>640</v>
      </c>
      <c r="C216" s="17" t="s">
        <v>201</v>
      </c>
      <c r="D216" s="18"/>
      <c r="E216" s="18">
        <v>0.20499999999999999</v>
      </c>
      <c r="F216" s="18">
        <v>0</v>
      </c>
      <c r="G216" s="18">
        <v>20</v>
      </c>
      <c r="H216" s="8"/>
      <c r="I216" s="8">
        <v>0.82</v>
      </c>
      <c r="J216" s="8"/>
      <c r="K216" s="8"/>
      <c r="L216" s="8"/>
      <c r="M216" s="8"/>
      <c r="N216" s="8"/>
      <c r="O216" s="8"/>
      <c r="P216" s="8">
        <v>0.87227499999999991</v>
      </c>
      <c r="Q216" s="8">
        <v>2.3551424999999997E-2</v>
      </c>
      <c r="R216" s="8">
        <v>1.4828674999999999E-2</v>
      </c>
      <c r="S216" s="8">
        <v>0.20207142857142851</v>
      </c>
      <c r="T216" s="8">
        <v>1.1127265285714283</v>
      </c>
      <c r="U216" s="8"/>
      <c r="V216" s="8"/>
      <c r="W216" s="8"/>
      <c r="X216" s="15"/>
      <c r="AA216">
        <v>149.41999999999999</v>
      </c>
      <c r="AB216" t="s">
        <v>30</v>
      </c>
      <c r="AC216" t="s">
        <v>668</v>
      </c>
      <c r="AE216" t="s">
        <v>654</v>
      </c>
      <c r="AF216">
        <v>32.67</v>
      </c>
      <c r="AG216" t="s">
        <v>654</v>
      </c>
    </row>
    <row r="217" spans="1:33" ht="8.1" customHeight="1" thickBot="1" x14ac:dyDescent="0.3"/>
    <row r="218" spans="1:33" x14ac:dyDescent="0.25">
      <c r="A218" s="30" t="s">
        <v>669</v>
      </c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</row>
    <row r="219" spans="1:33" x14ac:dyDescent="0.25">
      <c r="A219" s="13" t="s">
        <v>670</v>
      </c>
      <c r="B219" s="14" t="s">
        <v>252</v>
      </c>
      <c r="C219" s="14" t="s">
        <v>253</v>
      </c>
      <c r="D219" s="10"/>
      <c r="E219" s="10"/>
      <c r="F219" s="10">
        <v>0</v>
      </c>
      <c r="G219" s="10">
        <v>20</v>
      </c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15"/>
      <c r="Z219">
        <v>73.25</v>
      </c>
      <c r="AA219">
        <v>47.54</v>
      </c>
      <c r="AB219" t="s">
        <v>30</v>
      </c>
      <c r="AC219" t="s">
        <v>705</v>
      </c>
      <c r="AE219" t="s">
        <v>690</v>
      </c>
      <c r="AF219">
        <v>18.03</v>
      </c>
      <c r="AG219" t="s">
        <v>690</v>
      </c>
    </row>
    <row r="220" spans="1:33" x14ac:dyDescent="0.25">
      <c r="A220" s="16" t="s">
        <v>671</v>
      </c>
      <c r="B220" s="17" t="s">
        <v>254</v>
      </c>
      <c r="C220" s="17" t="s">
        <v>253</v>
      </c>
      <c r="D220" s="18"/>
      <c r="E220" s="18"/>
      <c r="F220" s="18">
        <v>0</v>
      </c>
      <c r="G220" s="18">
        <v>20</v>
      </c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15"/>
      <c r="Z220">
        <v>74.11</v>
      </c>
      <c r="AA220">
        <v>48.1</v>
      </c>
      <c r="AB220" t="s">
        <v>30</v>
      </c>
      <c r="AC220" t="s">
        <v>706</v>
      </c>
      <c r="AD220">
        <v>39.950000000000003</v>
      </c>
      <c r="AE220" t="s">
        <v>691</v>
      </c>
      <c r="AF220">
        <v>18.03</v>
      </c>
      <c r="AG220" t="s">
        <v>691</v>
      </c>
    </row>
    <row r="221" spans="1:33" x14ac:dyDescent="0.25">
      <c r="A221" s="13" t="s">
        <v>672</v>
      </c>
      <c r="B221" s="14" t="s">
        <v>196</v>
      </c>
      <c r="C221" s="14" t="s">
        <v>47</v>
      </c>
      <c r="D221" s="10"/>
      <c r="E221" s="10"/>
      <c r="F221" s="10">
        <v>15</v>
      </c>
      <c r="G221" s="10">
        <v>20</v>
      </c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15"/>
      <c r="Z221">
        <v>552.17999999999995</v>
      </c>
      <c r="AA221">
        <v>358.37</v>
      </c>
      <c r="AB221" t="s">
        <v>30</v>
      </c>
      <c r="AC221" t="s">
        <v>707</v>
      </c>
      <c r="AE221" t="s">
        <v>692</v>
      </c>
      <c r="AF221">
        <v>242.11</v>
      </c>
      <c r="AG221" t="s">
        <v>692</v>
      </c>
    </row>
    <row r="222" spans="1:33" x14ac:dyDescent="0.25">
      <c r="A222" s="16" t="s">
        <v>673</v>
      </c>
      <c r="B222" s="17" t="s">
        <v>257</v>
      </c>
      <c r="C222" s="17" t="s">
        <v>47</v>
      </c>
      <c r="D222" s="18"/>
      <c r="E222" s="18"/>
      <c r="F222" s="18">
        <v>15</v>
      </c>
      <c r="G222" s="18">
        <v>20</v>
      </c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15"/>
      <c r="AB222" t="s">
        <v>30</v>
      </c>
      <c r="AC222" t="s">
        <v>116</v>
      </c>
      <c r="AE222" t="s">
        <v>693</v>
      </c>
      <c r="AG222" t="s">
        <v>693</v>
      </c>
    </row>
    <row r="223" spans="1:33" x14ac:dyDescent="0.25">
      <c r="A223" s="13" t="s">
        <v>674</v>
      </c>
      <c r="B223" s="14" t="s">
        <v>675</v>
      </c>
      <c r="C223" s="14" t="s">
        <v>41</v>
      </c>
      <c r="D223" s="10"/>
      <c r="E223" s="10"/>
      <c r="F223" s="10">
        <v>15</v>
      </c>
      <c r="G223" s="10">
        <v>20</v>
      </c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15"/>
      <c r="Z223">
        <v>67.400000000000006</v>
      </c>
      <c r="AA223">
        <v>44.82</v>
      </c>
      <c r="AB223" t="s">
        <v>30</v>
      </c>
      <c r="AC223" t="s">
        <v>708</v>
      </c>
      <c r="AD223">
        <v>71.17</v>
      </c>
      <c r="AE223" t="s">
        <v>694</v>
      </c>
      <c r="AG223" t="s">
        <v>694</v>
      </c>
    </row>
    <row r="224" spans="1:33" x14ac:dyDescent="0.25">
      <c r="A224" s="16" t="s">
        <v>676</v>
      </c>
      <c r="B224" s="17" t="s">
        <v>677</v>
      </c>
      <c r="C224" s="17" t="s">
        <v>274</v>
      </c>
      <c r="D224" s="18"/>
      <c r="E224" s="18"/>
      <c r="F224" s="18">
        <v>0</v>
      </c>
      <c r="G224" s="18">
        <v>20</v>
      </c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15"/>
      <c r="Z224">
        <v>109.1</v>
      </c>
      <c r="AA224">
        <v>77.239999999999995</v>
      </c>
      <c r="AB224" t="s">
        <v>30</v>
      </c>
      <c r="AC224" t="s">
        <v>709</v>
      </c>
      <c r="AD224">
        <v>89.45</v>
      </c>
      <c r="AE224" t="s">
        <v>695</v>
      </c>
      <c r="AG224" t="s">
        <v>695</v>
      </c>
    </row>
    <row r="225" spans="1:33" x14ac:dyDescent="0.25">
      <c r="A225" s="13" t="s">
        <v>678</v>
      </c>
      <c r="B225" s="14" t="s">
        <v>679</v>
      </c>
      <c r="C225" s="19"/>
      <c r="D225" s="10"/>
      <c r="E225" s="10"/>
      <c r="F225" s="10"/>
      <c r="G225" s="10">
        <v>20</v>
      </c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15"/>
      <c r="Z225">
        <v>132.03</v>
      </c>
      <c r="AA225">
        <v>93.48</v>
      </c>
      <c r="AB225" t="s">
        <v>30</v>
      </c>
      <c r="AC225" t="s">
        <v>710</v>
      </c>
      <c r="AD225">
        <v>124.92</v>
      </c>
      <c r="AE225" t="s">
        <v>696</v>
      </c>
      <c r="AG225" t="s">
        <v>696</v>
      </c>
    </row>
    <row r="226" spans="1:33" x14ac:dyDescent="0.25">
      <c r="A226" s="16" t="s">
        <v>680</v>
      </c>
      <c r="B226" s="17" t="s">
        <v>211</v>
      </c>
      <c r="C226" s="17" t="s">
        <v>125</v>
      </c>
      <c r="D226" s="18"/>
      <c r="E226" s="18"/>
      <c r="F226" s="18">
        <v>0</v>
      </c>
      <c r="G226" s="18">
        <v>20</v>
      </c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15"/>
      <c r="AB226" t="s">
        <v>30</v>
      </c>
      <c r="AC226" t="s">
        <v>116</v>
      </c>
      <c r="AE226" t="s">
        <v>697</v>
      </c>
      <c r="AG226" t="s">
        <v>697</v>
      </c>
    </row>
    <row r="227" spans="1:33" x14ac:dyDescent="0.25">
      <c r="A227" s="13" t="s">
        <v>681</v>
      </c>
      <c r="B227" s="14" t="s">
        <v>265</v>
      </c>
      <c r="C227" s="14" t="s">
        <v>41</v>
      </c>
      <c r="D227" s="10"/>
      <c r="E227" s="10"/>
      <c r="F227" s="10">
        <v>15</v>
      </c>
      <c r="G227" s="10">
        <v>20</v>
      </c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15"/>
      <c r="Z227">
        <v>304.95</v>
      </c>
      <c r="AA227">
        <v>197.91</v>
      </c>
      <c r="AB227" t="s">
        <v>30</v>
      </c>
      <c r="AC227" t="s">
        <v>711</v>
      </c>
      <c r="AD227">
        <v>512.69000000000005</v>
      </c>
      <c r="AE227" t="s">
        <v>698</v>
      </c>
      <c r="AF227">
        <v>127.1</v>
      </c>
      <c r="AG227" t="s">
        <v>698</v>
      </c>
    </row>
    <row r="228" spans="1:33" x14ac:dyDescent="0.25">
      <c r="A228" s="16" t="s">
        <v>682</v>
      </c>
      <c r="B228" s="17" t="s">
        <v>266</v>
      </c>
      <c r="C228" s="17" t="s">
        <v>90</v>
      </c>
      <c r="D228" s="18"/>
      <c r="E228" s="18"/>
      <c r="F228" s="18">
        <v>15</v>
      </c>
      <c r="G228" s="18">
        <v>20</v>
      </c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15"/>
      <c r="Z228">
        <v>67.47</v>
      </c>
      <c r="AA228">
        <v>44.87</v>
      </c>
      <c r="AB228" t="s">
        <v>30</v>
      </c>
      <c r="AC228" t="s">
        <v>712</v>
      </c>
      <c r="AD228">
        <v>116.06</v>
      </c>
      <c r="AE228" t="s">
        <v>699</v>
      </c>
      <c r="AF228">
        <v>37.93</v>
      </c>
      <c r="AG228" t="s">
        <v>699</v>
      </c>
    </row>
    <row r="229" spans="1:33" x14ac:dyDescent="0.25">
      <c r="A229" s="13" t="s">
        <v>683</v>
      </c>
      <c r="B229" s="14" t="s">
        <v>52</v>
      </c>
      <c r="C229" s="14" t="s">
        <v>41</v>
      </c>
      <c r="D229" s="10"/>
      <c r="E229" s="10"/>
      <c r="F229" s="10">
        <v>15</v>
      </c>
      <c r="G229" s="10">
        <v>20</v>
      </c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15"/>
      <c r="Z229">
        <v>284.13</v>
      </c>
      <c r="AA229">
        <v>184.4</v>
      </c>
      <c r="AB229" t="s">
        <v>30</v>
      </c>
      <c r="AC229" t="s">
        <v>713</v>
      </c>
      <c r="AE229" t="s">
        <v>700</v>
      </c>
      <c r="AG229" t="s">
        <v>700</v>
      </c>
    </row>
    <row r="230" spans="1:33" x14ac:dyDescent="0.25">
      <c r="A230" s="16" t="s">
        <v>684</v>
      </c>
      <c r="B230" s="17" t="s">
        <v>42</v>
      </c>
      <c r="C230" s="19"/>
      <c r="D230" s="18"/>
      <c r="E230" s="18"/>
      <c r="F230" s="18"/>
      <c r="G230" s="18">
        <v>20</v>
      </c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15"/>
      <c r="Z230">
        <v>190.04</v>
      </c>
      <c r="AA230">
        <v>123.33</v>
      </c>
      <c r="AB230" t="s">
        <v>30</v>
      </c>
      <c r="AC230" t="s">
        <v>714</v>
      </c>
      <c r="AE230" t="s">
        <v>701</v>
      </c>
      <c r="AF230">
        <v>54.99</v>
      </c>
      <c r="AG230" t="s">
        <v>701</v>
      </c>
    </row>
    <row r="231" spans="1:33" x14ac:dyDescent="0.25">
      <c r="A231" s="13" t="s">
        <v>685</v>
      </c>
      <c r="B231" s="14" t="s">
        <v>275</v>
      </c>
      <c r="C231" s="14" t="s">
        <v>41</v>
      </c>
      <c r="D231" s="10"/>
      <c r="E231" s="10"/>
      <c r="F231" s="10">
        <v>15</v>
      </c>
      <c r="G231" s="10">
        <v>20</v>
      </c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15"/>
      <c r="Z231">
        <v>13.49</v>
      </c>
      <c r="AA231">
        <v>8.9700000000000006</v>
      </c>
      <c r="AB231" t="s">
        <v>30</v>
      </c>
      <c r="AC231" t="s">
        <v>715</v>
      </c>
      <c r="AE231" t="s">
        <v>702</v>
      </c>
      <c r="AF231">
        <v>6.99</v>
      </c>
      <c r="AG231" t="s">
        <v>702</v>
      </c>
    </row>
    <row r="232" spans="1:33" x14ac:dyDescent="0.25">
      <c r="A232" s="16" t="s">
        <v>686</v>
      </c>
      <c r="B232" s="17" t="s">
        <v>687</v>
      </c>
      <c r="C232" s="17" t="s">
        <v>125</v>
      </c>
      <c r="D232" s="18"/>
      <c r="E232" s="18"/>
      <c r="F232" s="18">
        <v>0</v>
      </c>
      <c r="G232" s="18">
        <v>20</v>
      </c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15"/>
      <c r="Z232">
        <v>29.33</v>
      </c>
      <c r="AA232">
        <v>19.5</v>
      </c>
      <c r="AB232" t="s">
        <v>30</v>
      </c>
      <c r="AC232" t="s">
        <v>716</v>
      </c>
      <c r="AD232">
        <v>35.82</v>
      </c>
      <c r="AE232" t="s">
        <v>703</v>
      </c>
      <c r="AF232">
        <v>33.15</v>
      </c>
      <c r="AG232" t="s">
        <v>703</v>
      </c>
    </row>
    <row r="233" spans="1:33" x14ac:dyDescent="0.25">
      <c r="A233" s="13" t="s">
        <v>688</v>
      </c>
      <c r="B233" s="14" t="s">
        <v>689</v>
      </c>
      <c r="C233" s="14" t="s">
        <v>100</v>
      </c>
      <c r="D233" s="10"/>
      <c r="E233" s="10"/>
      <c r="F233" s="10">
        <v>10</v>
      </c>
      <c r="G233" s="10">
        <v>20</v>
      </c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15"/>
      <c r="Z233">
        <v>35.090000000000003</v>
      </c>
      <c r="AA233">
        <v>23.33</v>
      </c>
      <c r="AB233" t="s">
        <v>30</v>
      </c>
      <c r="AC233" t="s">
        <v>717</v>
      </c>
      <c r="AE233" t="s">
        <v>704</v>
      </c>
      <c r="AG233" t="s">
        <v>704</v>
      </c>
    </row>
    <row r="234" spans="1:33" ht="8.1" customHeight="1" thickBot="1" x14ac:dyDescent="0.3"/>
    <row r="235" spans="1:33" x14ac:dyDescent="0.25">
      <c r="A235" s="30" t="s">
        <v>718</v>
      </c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</row>
    <row r="236" spans="1:33" x14ac:dyDescent="0.25">
      <c r="A236" s="13" t="s">
        <v>719</v>
      </c>
      <c r="B236" s="14" t="s">
        <v>720</v>
      </c>
      <c r="C236" s="19"/>
      <c r="D236" s="10"/>
      <c r="E236" s="10"/>
      <c r="F236" s="10"/>
      <c r="G236" s="10">
        <v>20</v>
      </c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15"/>
      <c r="AB236" t="s">
        <v>30</v>
      </c>
      <c r="AC236" t="s">
        <v>764</v>
      </c>
      <c r="AE236" t="s">
        <v>747</v>
      </c>
      <c r="AG236" t="s">
        <v>747</v>
      </c>
    </row>
    <row r="237" spans="1:33" x14ac:dyDescent="0.25">
      <c r="A237" s="16" t="s">
        <v>721</v>
      </c>
      <c r="B237" s="17" t="s">
        <v>722</v>
      </c>
      <c r="C237" s="19"/>
      <c r="D237" s="18"/>
      <c r="E237" s="18"/>
      <c r="F237" s="18"/>
      <c r="G237" s="18">
        <v>20</v>
      </c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15"/>
      <c r="AB237" t="s">
        <v>30</v>
      </c>
      <c r="AC237" t="s">
        <v>764</v>
      </c>
      <c r="AE237" t="s">
        <v>748</v>
      </c>
      <c r="AG237" t="s">
        <v>748</v>
      </c>
    </row>
    <row r="238" spans="1:33" x14ac:dyDescent="0.25">
      <c r="A238" s="13" t="s">
        <v>723</v>
      </c>
      <c r="B238" s="14" t="s">
        <v>252</v>
      </c>
      <c r="C238" s="14" t="s">
        <v>253</v>
      </c>
      <c r="D238" s="10"/>
      <c r="E238" s="10">
        <v>0.37</v>
      </c>
      <c r="F238" s="10">
        <v>0</v>
      </c>
      <c r="G238" s="10">
        <v>20</v>
      </c>
      <c r="H238" s="8"/>
      <c r="I238" s="8">
        <v>1.48</v>
      </c>
      <c r="J238" s="8"/>
      <c r="K238" s="8"/>
      <c r="L238" s="8"/>
      <c r="M238" s="8"/>
      <c r="N238" s="8"/>
      <c r="O238" s="8"/>
      <c r="P238" s="8">
        <v>1.5743499999999999</v>
      </c>
      <c r="Q238" s="8">
        <v>4.2507449999999995E-2</v>
      </c>
      <c r="R238" s="8">
        <v>2.6763950000000002E-2</v>
      </c>
      <c r="S238" s="8">
        <v>0.36471428571428566</v>
      </c>
      <c r="T238" s="8">
        <v>2.0083356857142856</v>
      </c>
      <c r="U238" s="8"/>
      <c r="V238" s="8"/>
      <c r="W238" s="8"/>
      <c r="X238" s="15"/>
      <c r="AA238">
        <v>50.36</v>
      </c>
      <c r="AB238" t="s">
        <v>30</v>
      </c>
      <c r="AC238" t="s">
        <v>765</v>
      </c>
      <c r="AD238">
        <v>51.99</v>
      </c>
      <c r="AE238" t="s">
        <v>749</v>
      </c>
      <c r="AG238" t="s">
        <v>749</v>
      </c>
    </row>
    <row r="239" spans="1:33" x14ac:dyDescent="0.25">
      <c r="A239" s="16" t="s">
        <v>724</v>
      </c>
      <c r="B239" s="17" t="s">
        <v>254</v>
      </c>
      <c r="C239" s="17" t="s">
        <v>253</v>
      </c>
      <c r="D239" s="18"/>
      <c r="E239" s="18">
        <v>0.36599999999999999</v>
      </c>
      <c r="F239" s="18">
        <v>0</v>
      </c>
      <c r="G239" s="18">
        <v>20</v>
      </c>
      <c r="H239" s="8"/>
      <c r="I239" s="8">
        <v>1.464</v>
      </c>
      <c r="J239" s="8"/>
      <c r="K239" s="8"/>
      <c r="L239" s="8"/>
      <c r="M239" s="8"/>
      <c r="N239" s="8"/>
      <c r="O239" s="8"/>
      <c r="P239" s="8">
        <v>1.5573299999999999</v>
      </c>
      <c r="Q239" s="8">
        <v>4.2047909999999994E-2</v>
      </c>
      <c r="R239" s="8">
        <v>2.6474609999999999E-2</v>
      </c>
      <c r="S239" s="8">
        <v>0.36077142857142847</v>
      </c>
      <c r="T239" s="8">
        <v>1.9866239485714283</v>
      </c>
      <c r="U239" s="8"/>
      <c r="V239" s="8"/>
      <c r="W239" s="8"/>
      <c r="X239" s="15"/>
      <c r="AA239">
        <v>50.62</v>
      </c>
      <c r="AB239" t="s">
        <v>30</v>
      </c>
      <c r="AC239" t="s">
        <v>766</v>
      </c>
      <c r="AD239">
        <v>52.52</v>
      </c>
      <c r="AE239" t="s">
        <v>750</v>
      </c>
      <c r="AG239" t="s">
        <v>750</v>
      </c>
    </row>
    <row r="240" spans="1:33" x14ac:dyDescent="0.25">
      <c r="A240" s="13" t="s">
        <v>725</v>
      </c>
      <c r="B240" s="14" t="s">
        <v>196</v>
      </c>
      <c r="C240" s="14" t="s">
        <v>47</v>
      </c>
      <c r="D240" s="10"/>
      <c r="E240" s="10">
        <v>0.13700000000000001</v>
      </c>
      <c r="F240" s="10">
        <v>15</v>
      </c>
      <c r="G240" s="10">
        <v>20</v>
      </c>
      <c r="H240" s="8"/>
      <c r="I240" s="8">
        <v>0.54800000000000004</v>
      </c>
      <c r="J240" s="8"/>
      <c r="K240" s="8"/>
      <c r="L240" s="8"/>
      <c r="M240" s="8"/>
      <c r="N240" s="8"/>
      <c r="O240" s="8"/>
      <c r="P240" s="8">
        <v>0.58293499999999998</v>
      </c>
      <c r="Q240" s="8">
        <v>1.5739244999999999E-2</v>
      </c>
      <c r="R240" s="8">
        <v>9.9098950000000002E-3</v>
      </c>
      <c r="S240" s="8">
        <v>0.13504285714285713</v>
      </c>
      <c r="T240" s="8">
        <v>0.74362699714285707</v>
      </c>
      <c r="U240" s="8"/>
      <c r="V240" s="8"/>
      <c r="W240" s="8"/>
      <c r="X240" s="15"/>
      <c r="AA240">
        <v>392.33</v>
      </c>
      <c r="AB240" t="s">
        <v>30</v>
      </c>
      <c r="AC240" t="s">
        <v>767</v>
      </c>
      <c r="AD240">
        <v>713.82</v>
      </c>
      <c r="AE240" t="s">
        <v>751</v>
      </c>
      <c r="AG240" t="s">
        <v>751</v>
      </c>
    </row>
    <row r="241" spans="1:33" x14ac:dyDescent="0.25">
      <c r="A241" s="16" t="s">
        <v>726</v>
      </c>
      <c r="B241" s="17" t="s">
        <v>727</v>
      </c>
      <c r="C241" s="17" t="s">
        <v>125</v>
      </c>
      <c r="D241" s="18"/>
      <c r="E241" s="18">
        <v>0.193</v>
      </c>
      <c r="F241" s="18">
        <v>0</v>
      </c>
      <c r="G241" s="18">
        <v>20</v>
      </c>
      <c r="H241" s="8"/>
      <c r="I241" s="8">
        <v>0.77200000000000002</v>
      </c>
      <c r="J241" s="8"/>
      <c r="K241" s="8"/>
      <c r="L241" s="8"/>
      <c r="M241" s="8"/>
      <c r="N241" s="8"/>
      <c r="O241" s="8"/>
      <c r="P241" s="8">
        <v>0.82121500000000003</v>
      </c>
      <c r="Q241" s="8">
        <v>2.2172805E-2</v>
      </c>
      <c r="R241" s="8">
        <v>1.3960655000000001E-2</v>
      </c>
      <c r="S241" s="8">
        <v>0.19024285714285713</v>
      </c>
      <c r="T241" s="8">
        <v>1.047591317142857</v>
      </c>
      <c r="U241" s="8"/>
      <c r="V241" s="8"/>
      <c r="W241" s="8"/>
      <c r="X241" s="15"/>
      <c r="AA241">
        <v>704.3</v>
      </c>
      <c r="AB241" t="s">
        <v>30</v>
      </c>
      <c r="AC241" t="s">
        <v>768</v>
      </c>
      <c r="AD241">
        <v>117.71</v>
      </c>
      <c r="AE241" t="s">
        <v>752</v>
      </c>
      <c r="AG241" t="s">
        <v>752</v>
      </c>
    </row>
    <row r="242" spans="1:33" x14ac:dyDescent="0.25">
      <c r="A242" s="13" t="s">
        <v>728</v>
      </c>
      <c r="B242" s="14" t="s">
        <v>263</v>
      </c>
      <c r="C242" s="14" t="s">
        <v>125</v>
      </c>
      <c r="D242" s="10"/>
      <c r="E242" s="10">
        <v>4.68</v>
      </c>
      <c r="F242" s="10">
        <v>0</v>
      </c>
      <c r="G242" s="10">
        <v>20</v>
      </c>
      <c r="H242" s="8"/>
      <c r="I242" s="8">
        <v>18.72</v>
      </c>
      <c r="J242" s="8"/>
      <c r="K242" s="8"/>
      <c r="L242" s="8"/>
      <c r="M242" s="8"/>
      <c r="N242" s="8"/>
      <c r="O242" s="8"/>
      <c r="P242" s="8">
        <v>19.913399999999996</v>
      </c>
      <c r="Q242" s="8">
        <v>0.53766179999999986</v>
      </c>
      <c r="R242" s="8">
        <v>0.33852779999999993</v>
      </c>
      <c r="S242" s="8">
        <v>4.6131428571428561</v>
      </c>
      <c r="T242" s="8">
        <v>25.402732457142854</v>
      </c>
      <c r="U242" s="8"/>
      <c r="V242" s="8"/>
      <c r="W242" s="8"/>
      <c r="X242" s="15"/>
      <c r="AA242">
        <v>776.34</v>
      </c>
      <c r="AB242" t="s">
        <v>30</v>
      </c>
      <c r="AC242" t="s">
        <v>769</v>
      </c>
      <c r="AE242" t="s">
        <v>753</v>
      </c>
      <c r="AG242" t="s">
        <v>753</v>
      </c>
    </row>
    <row r="243" spans="1:33" x14ac:dyDescent="0.25">
      <c r="A243" s="16" t="s">
        <v>729</v>
      </c>
      <c r="B243" s="17" t="s">
        <v>148</v>
      </c>
      <c r="C243" s="17" t="s">
        <v>125</v>
      </c>
      <c r="D243" s="18"/>
      <c r="E243" s="18">
        <v>4.66</v>
      </c>
      <c r="F243" s="18">
        <v>0</v>
      </c>
      <c r="G243" s="18">
        <v>20</v>
      </c>
      <c r="H243" s="8"/>
      <c r="I243" s="8">
        <v>18.64</v>
      </c>
      <c r="J243" s="8"/>
      <c r="K243" s="8"/>
      <c r="L243" s="8"/>
      <c r="M243" s="8"/>
      <c r="N243" s="8"/>
      <c r="O243" s="8"/>
      <c r="P243" s="8">
        <v>19.828299999999999</v>
      </c>
      <c r="Q243" s="8">
        <v>0.53536410000000001</v>
      </c>
      <c r="R243" s="8">
        <v>0.33708110000000002</v>
      </c>
      <c r="S243" s="8">
        <v>4.5934285714285714</v>
      </c>
      <c r="T243" s="8">
        <v>25.294173771428568</v>
      </c>
      <c r="U243" s="8"/>
      <c r="V243" s="8"/>
      <c r="W243" s="8"/>
      <c r="X243" s="15"/>
      <c r="AA243">
        <v>232.56</v>
      </c>
      <c r="AB243" t="s">
        <v>30</v>
      </c>
      <c r="AC243" t="s">
        <v>770</v>
      </c>
      <c r="AE243" t="s">
        <v>754</v>
      </c>
      <c r="AG243" t="s">
        <v>754</v>
      </c>
    </row>
    <row r="244" spans="1:33" x14ac:dyDescent="0.25">
      <c r="A244" s="13" t="s">
        <v>730</v>
      </c>
      <c r="B244" s="14" t="s">
        <v>731</v>
      </c>
      <c r="C244" s="14" t="s">
        <v>732</v>
      </c>
      <c r="D244" s="10"/>
      <c r="E244" s="10">
        <v>0.30599999999999999</v>
      </c>
      <c r="F244" s="10">
        <v>0</v>
      </c>
      <c r="G244" s="10">
        <v>20</v>
      </c>
      <c r="H244" s="8"/>
      <c r="I244" s="8">
        <v>1.224</v>
      </c>
      <c r="J244" s="8"/>
      <c r="K244" s="8"/>
      <c r="L244" s="8"/>
      <c r="M244" s="8"/>
      <c r="N244" s="8"/>
      <c r="O244" s="8"/>
      <c r="P244" s="8">
        <v>1.30203</v>
      </c>
      <c r="Q244" s="8">
        <v>3.5154810000000002E-2</v>
      </c>
      <c r="R244" s="8">
        <v>2.2134510000000003E-2</v>
      </c>
      <c r="S244" s="8">
        <v>0.30162857142857141</v>
      </c>
      <c r="T244" s="8">
        <v>1.6609478914285716</v>
      </c>
      <c r="U244" s="8"/>
      <c r="V244" s="8"/>
      <c r="W244" s="8"/>
      <c r="X244" s="15"/>
      <c r="AA244">
        <v>644.83000000000004</v>
      </c>
      <c r="AB244" t="s">
        <v>30</v>
      </c>
      <c r="AC244" t="s">
        <v>771</v>
      </c>
      <c r="AD244">
        <v>79.760000000000005</v>
      </c>
      <c r="AE244" t="s">
        <v>755</v>
      </c>
      <c r="AG244" t="s">
        <v>755</v>
      </c>
    </row>
    <row r="245" spans="1:33" x14ac:dyDescent="0.25">
      <c r="A245" s="16" t="s">
        <v>733</v>
      </c>
      <c r="B245" s="17" t="s">
        <v>52</v>
      </c>
      <c r="C245" s="17" t="s">
        <v>41</v>
      </c>
      <c r="D245" s="18"/>
      <c r="E245" s="18">
        <v>5.1849999999999996</v>
      </c>
      <c r="F245" s="18">
        <v>15</v>
      </c>
      <c r="G245" s="18">
        <v>20</v>
      </c>
      <c r="H245" s="8"/>
      <c r="I245" s="8">
        <v>20.74</v>
      </c>
      <c r="J245" s="8"/>
      <c r="K245" s="8"/>
      <c r="L245" s="8"/>
      <c r="M245" s="8"/>
      <c r="N245" s="8"/>
      <c r="O245" s="8"/>
      <c r="P245" s="8">
        <v>22.062175</v>
      </c>
      <c r="Q245" s="8">
        <v>0.59567872499999996</v>
      </c>
      <c r="R245" s="8">
        <v>0.37505697500000001</v>
      </c>
      <c r="S245" s="8">
        <v>5.1109285714285706</v>
      </c>
      <c r="T245" s="8">
        <v>28.143839271428568</v>
      </c>
      <c r="U245" s="8"/>
      <c r="V245" s="8"/>
      <c r="W245" s="8"/>
      <c r="X245" s="15"/>
      <c r="AA245">
        <v>868.28</v>
      </c>
      <c r="AB245" t="s">
        <v>30</v>
      </c>
      <c r="AC245" t="s">
        <v>772</v>
      </c>
      <c r="AD245">
        <v>474.76</v>
      </c>
      <c r="AE245" t="s">
        <v>756</v>
      </c>
      <c r="AG245" t="s">
        <v>756</v>
      </c>
    </row>
    <row r="246" spans="1:33" x14ac:dyDescent="0.25">
      <c r="A246" s="13" t="s">
        <v>734</v>
      </c>
      <c r="B246" s="14" t="s">
        <v>42</v>
      </c>
      <c r="C246" s="19"/>
      <c r="D246" s="10"/>
      <c r="E246" s="10">
        <v>1.55</v>
      </c>
      <c r="F246" s="10"/>
      <c r="G246" s="10">
        <v>20</v>
      </c>
      <c r="H246" s="8"/>
      <c r="I246" s="8">
        <v>6.2</v>
      </c>
      <c r="J246" s="8"/>
      <c r="K246" s="8"/>
      <c r="L246" s="8"/>
      <c r="M246" s="8"/>
      <c r="N246" s="8"/>
      <c r="O246" s="8"/>
      <c r="P246" s="8">
        <v>6.5952500000000001</v>
      </c>
      <c r="Q246" s="8">
        <v>0.17807175</v>
      </c>
      <c r="R246" s="8">
        <v>0.11211925</v>
      </c>
      <c r="S246" s="8">
        <v>1.5278571428571426</v>
      </c>
      <c r="T246" s="8">
        <v>8.4132981428571423</v>
      </c>
      <c r="U246" s="8"/>
      <c r="V246" s="8"/>
      <c r="W246" s="8"/>
      <c r="X246" s="15"/>
      <c r="AA246">
        <v>2648.34</v>
      </c>
      <c r="AB246" t="s">
        <v>30</v>
      </c>
      <c r="AC246" t="s">
        <v>773</v>
      </c>
      <c r="AD246">
        <v>379.19</v>
      </c>
      <c r="AE246" t="s">
        <v>757</v>
      </c>
      <c r="AG246" t="s">
        <v>757</v>
      </c>
    </row>
    <row r="247" spans="1:33" x14ac:dyDescent="0.25">
      <c r="A247" s="16" t="s">
        <v>735</v>
      </c>
      <c r="B247" s="17" t="s">
        <v>363</v>
      </c>
      <c r="C247" s="19"/>
      <c r="D247" s="18"/>
      <c r="E247" s="18">
        <v>1.55</v>
      </c>
      <c r="F247" s="18"/>
      <c r="G247" s="18">
        <v>20</v>
      </c>
      <c r="H247" s="8"/>
      <c r="I247" s="8">
        <v>6.2</v>
      </c>
      <c r="J247" s="8"/>
      <c r="K247" s="8"/>
      <c r="L247" s="8"/>
      <c r="M247" s="8"/>
      <c r="N247" s="8"/>
      <c r="O247" s="8"/>
      <c r="P247" s="8">
        <v>6.5952500000000001</v>
      </c>
      <c r="Q247" s="8">
        <v>0.17807175</v>
      </c>
      <c r="R247" s="8">
        <v>0.11211925</v>
      </c>
      <c r="S247" s="8">
        <v>1.5278571428571426</v>
      </c>
      <c r="T247" s="8">
        <v>8.4132981428571423</v>
      </c>
      <c r="U247" s="8"/>
      <c r="V247" s="8"/>
      <c r="W247" s="8"/>
      <c r="X247" s="15"/>
      <c r="AA247">
        <v>2592.86</v>
      </c>
      <c r="AB247" t="s">
        <v>30</v>
      </c>
      <c r="AC247" t="s">
        <v>774</v>
      </c>
      <c r="AE247" t="s">
        <v>758</v>
      </c>
      <c r="AG247" t="s">
        <v>758</v>
      </c>
    </row>
    <row r="248" spans="1:33" x14ac:dyDescent="0.25">
      <c r="A248" s="13" t="s">
        <v>736</v>
      </c>
      <c r="B248" s="14" t="s">
        <v>737</v>
      </c>
      <c r="C248" s="14" t="s">
        <v>125</v>
      </c>
      <c r="D248" s="10"/>
      <c r="E248" s="10"/>
      <c r="F248" s="10">
        <v>0</v>
      </c>
      <c r="G248" s="10">
        <v>20</v>
      </c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15"/>
      <c r="AB248" t="s">
        <v>30</v>
      </c>
      <c r="AC248" t="s">
        <v>764</v>
      </c>
      <c r="AE248" t="s">
        <v>759</v>
      </c>
      <c r="AG248" t="s">
        <v>759</v>
      </c>
    </row>
    <row r="249" spans="1:33" x14ac:dyDescent="0.25">
      <c r="A249" s="16" t="s">
        <v>738</v>
      </c>
      <c r="B249" s="17" t="s">
        <v>739</v>
      </c>
      <c r="C249" s="17" t="s">
        <v>740</v>
      </c>
      <c r="D249" s="18"/>
      <c r="E249" s="18">
        <v>1.302</v>
      </c>
      <c r="F249" s="18">
        <v>0</v>
      </c>
      <c r="G249" s="18">
        <v>20</v>
      </c>
      <c r="H249" s="8"/>
      <c r="I249" s="8">
        <v>5.2080000000000002</v>
      </c>
      <c r="J249" s="8"/>
      <c r="K249" s="8"/>
      <c r="L249" s="8"/>
      <c r="M249" s="8"/>
      <c r="N249" s="8"/>
      <c r="O249" s="8"/>
      <c r="P249" s="8">
        <v>5.5400099999999997</v>
      </c>
      <c r="Q249" s="8">
        <v>0.14958026999999999</v>
      </c>
      <c r="R249" s="8">
        <v>9.4180170000000007E-2</v>
      </c>
      <c r="S249" s="8">
        <v>1.2833999999999999</v>
      </c>
      <c r="T249" s="8">
        <v>7.0671704399999999</v>
      </c>
      <c r="U249" s="8"/>
      <c r="V249" s="8"/>
      <c r="W249" s="8"/>
      <c r="X249" s="15"/>
      <c r="AA249">
        <v>160.38999999999999</v>
      </c>
      <c r="AB249" t="s">
        <v>30</v>
      </c>
      <c r="AC249" t="s">
        <v>775</v>
      </c>
      <c r="AE249" t="s">
        <v>760</v>
      </c>
      <c r="AG249" t="s">
        <v>760</v>
      </c>
    </row>
    <row r="250" spans="1:33" x14ac:dyDescent="0.25">
      <c r="A250" s="13" t="s">
        <v>741</v>
      </c>
      <c r="B250" s="14" t="s">
        <v>742</v>
      </c>
      <c r="C250" s="14" t="s">
        <v>274</v>
      </c>
      <c r="D250" s="10"/>
      <c r="E250" s="10"/>
      <c r="F250" s="10">
        <v>0</v>
      </c>
      <c r="G250" s="10">
        <v>20</v>
      </c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15"/>
      <c r="AB250" t="s">
        <v>30</v>
      </c>
      <c r="AC250" t="s">
        <v>764</v>
      </c>
      <c r="AE250" t="s">
        <v>761</v>
      </c>
      <c r="AG250" t="s">
        <v>761</v>
      </c>
    </row>
    <row r="251" spans="1:33" x14ac:dyDescent="0.25">
      <c r="A251" s="16" t="s">
        <v>743</v>
      </c>
      <c r="B251" s="17" t="s">
        <v>744</v>
      </c>
      <c r="C251" s="17" t="s">
        <v>274</v>
      </c>
      <c r="D251" s="18"/>
      <c r="E251" s="18"/>
      <c r="F251" s="18">
        <v>0</v>
      </c>
      <c r="G251" s="18">
        <v>20</v>
      </c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15"/>
      <c r="AB251" t="s">
        <v>30</v>
      </c>
      <c r="AC251" t="s">
        <v>764</v>
      </c>
      <c r="AE251" t="s">
        <v>762</v>
      </c>
      <c r="AG251" t="s">
        <v>762</v>
      </c>
    </row>
    <row r="252" spans="1:33" x14ac:dyDescent="0.25">
      <c r="A252" s="13" t="s">
        <v>745</v>
      </c>
      <c r="B252" s="14" t="s">
        <v>746</v>
      </c>
      <c r="C252" s="14" t="s">
        <v>48</v>
      </c>
      <c r="D252" s="10"/>
      <c r="E252" s="10">
        <v>0.14399999999999999</v>
      </c>
      <c r="F252" s="10">
        <v>15</v>
      </c>
      <c r="G252" s="10">
        <v>20</v>
      </c>
      <c r="H252" s="8"/>
      <c r="I252" s="8">
        <v>0.57599999999999996</v>
      </c>
      <c r="J252" s="8"/>
      <c r="K252" s="8"/>
      <c r="L252" s="8"/>
      <c r="M252" s="8"/>
      <c r="N252" s="8"/>
      <c r="O252" s="8"/>
      <c r="P252" s="8">
        <v>0.61271999999999993</v>
      </c>
      <c r="Q252" s="8">
        <v>1.654344E-2</v>
      </c>
      <c r="R252" s="8">
        <v>1.041624E-2</v>
      </c>
      <c r="S252" s="8">
        <v>0.14194285714285712</v>
      </c>
      <c r="T252" s="8">
        <v>0.78162253714285701</v>
      </c>
      <c r="U252" s="8"/>
      <c r="V252" s="8"/>
      <c r="W252" s="8"/>
      <c r="X252" s="15"/>
      <c r="AA252">
        <v>2509.19</v>
      </c>
      <c r="AB252" t="s">
        <v>30</v>
      </c>
      <c r="AC252" t="s">
        <v>776</v>
      </c>
      <c r="AD252">
        <v>53.14</v>
      </c>
      <c r="AE252" t="s">
        <v>763</v>
      </c>
      <c r="AG252" t="s">
        <v>763</v>
      </c>
    </row>
    <row r="253" spans="1:33" ht="8.1" customHeight="1" thickBot="1" x14ac:dyDescent="0.3"/>
    <row r="254" spans="1:33" x14ac:dyDescent="0.25">
      <c r="A254" s="30" t="s">
        <v>777</v>
      </c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</row>
    <row r="255" spans="1:33" x14ac:dyDescent="0.25">
      <c r="A255" s="13" t="s">
        <v>778</v>
      </c>
      <c r="B255" s="14" t="s">
        <v>779</v>
      </c>
      <c r="C255" s="14" t="s">
        <v>47</v>
      </c>
      <c r="D255" s="10"/>
      <c r="E255" s="10"/>
      <c r="F255" s="10">
        <v>15</v>
      </c>
      <c r="G255" s="10">
        <v>20</v>
      </c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15"/>
      <c r="Z255">
        <v>195</v>
      </c>
      <c r="AA255">
        <v>131.97999999999999</v>
      </c>
      <c r="AB255" t="s">
        <v>30</v>
      </c>
      <c r="AC255" t="s">
        <v>817</v>
      </c>
      <c r="AD255">
        <v>391.57</v>
      </c>
      <c r="AE255" t="s">
        <v>805</v>
      </c>
      <c r="AG255" t="s">
        <v>805</v>
      </c>
    </row>
    <row r="256" spans="1:33" x14ac:dyDescent="0.25">
      <c r="A256" s="16" t="s">
        <v>780</v>
      </c>
      <c r="B256" s="17" t="s">
        <v>781</v>
      </c>
      <c r="C256" s="17" t="s">
        <v>782</v>
      </c>
      <c r="D256" s="18"/>
      <c r="E256" s="18"/>
      <c r="F256" s="18">
        <v>0</v>
      </c>
      <c r="G256" s="18">
        <v>20</v>
      </c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15"/>
      <c r="Z256">
        <v>805</v>
      </c>
      <c r="AA256">
        <v>550.62</v>
      </c>
      <c r="AB256" t="s">
        <v>30</v>
      </c>
      <c r="AC256" t="s">
        <v>818</v>
      </c>
      <c r="AE256" t="s">
        <v>806</v>
      </c>
      <c r="AG256" t="s">
        <v>806</v>
      </c>
    </row>
    <row r="257" spans="1:33" x14ac:dyDescent="0.25">
      <c r="A257" s="13" t="s">
        <v>783</v>
      </c>
      <c r="B257" s="14" t="s">
        <v>784</v>
      </c>
      <c r="C257" s="19"/>
      <c r="D257" s="10"/>
      <c r="E257" s="10"/>
      <c r="F257" s="10"/>
      <c r="G257" s="10">
        <v>20</v>
      </c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15"/>
      <c r="AB257" t="s">
        <v>30</v>
      </c>
    </row>
    <row r="258" spans="1:33" x14ac:dyDescent="0.25">
      <c r="A258" s="16" t="s">
        <v>783</v>
      </c>
      <c r="B258" s="17" t="s">
        <v>785</v>
      </c>
      <c r="C258" s="19"/>
      <c r="D258" s="18"/>
      <c r="E258" s="18"/>
      <c r="F258" s="18"/>
      <c r="G258" s="18">
        <v>20</v>
      </c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15"/>
      <c r="Z258">
        <v>33.35</v>
      </c>
      <c r="AA258">
        <v>24.51</v>
      </c>
      <c r="AB258" t="s">
        <v>30</v>
      </c>
      <c r="AC258" t="s">
        <v>819</v>
      </c>
      <c r="AD258">
        <v>34.5</v>
      </c>
      <c r="AE258" t="s">
        <v>807</v>
      </c>
      <c r="AF258">
        <v>48.17</v>
      </c>
      <c r="AG258" t="s">
        <v>807</v>
      </c>
    </row>
    <row r="259" spans="1:33" x14ac:dyDescent="0.25">
      <c r="A259" s="13" t="s">
        <v>786</v>
      </c>
      <c r="B259" s="14" t="s">
        <v>787</v>
      </c>
      <c r="C259" s="14" t="s">
        <v>80</v>
      </c>
      <c r="D259" s="10"/>
      <c r="E259" s="10"/>
      <c r="F259" s="10">
        <v>8</v>
      </c>
      <c r="G259" s="10">
        <v>20</v>
      </c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15"/>
      <c r="Z259">
        <v>51</v>
      </c>
      <c r="AA259">
        <v>35.65</v>
      </c>
      <c r="AB259" t="s">
        <v>30</v>
      </c>
      <c r="AC259" t="s">
        <v>820</v>
      </c>
      <c r="AD259">
        <v>42.01</v>
      </c>
      <c r="AE259" t="s">
        <v>808</v>
      </c>
      <c r="AG259" t="s">
        <v>808</v>
      </c>
    </row>
    <row r="260" spans="1:33" x14ac:dyDescent="0.25">
      <c r="A260" s="16" t="s">
        <v>788</v>
      </c>
      <c r="B260" s="17" t="s">
        <v>789</v>
      </c>
      <c r="C260" s="17" t="s">
        <v>790</v>
      </c>
      <c r="D260" s="18"/>
      <c r="E260" s="18"/>
      <c r="F260" s="18">
        <v>10</v>
      </c>
      <c r="G260" s="18">
        <v>20</v>
      </c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15"/>
      <c r="Z260">
        <v>1315</v>
      </c>
      <c r="AA260">
        <v>889.31</v>
      </c>
      <c r="AB260" t="s">
        <v>30</v>
      </c>
      <c r="AC260" t="s">
        <v>821</v>
      </c>
      <c r="AE260" t="s">
        <v>809</v>
      </c>
      <c r="AG260" t="s">
        <v>809</v>
      </c>
    </row>
    <row r="261" spans="1:33" x14ac:dyDescent="0.25">
      <c r="A261" s="13" t="s">
        <v>791</v>
      </c>
      <c r="B261" s="14" t="s">
        <v>792</v>
      </c>
      <c r="C261" s="19"/>
      <c r="D261" s="10"/>
      <c r="E261" s="10"/>
      <c r="F261" s="10"/>
      <c r="G261" s="10">
        <v>20</v>
      </c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15"/>
      <c r="Z261">
        <v>73.75</v>
      </c>
      <c r="AA261">
        <v>51.55</v>
      </c>
      <c r="AB261" t="s">
        <v>30</v>
      </c>
      <c r="AC261" t="s">
        <v>822</v>
      </c>
      <c r="AD261">
        <v>109.1</v>
      </c>
      <c r="AE261" t="s">
        <v>810</v>
      </c>
      <c r="AG261" t="s">
        <v>810</v>
      </c>
    </row>
    <row r="262" spans="1:33" x14ac:dyDescent="0.25">
      <c r="A262" s="16" t="s">
        <v>793</v>
      </c>
      <c r="B262" s="17" t="s">
        <v>794</v>
      </c>
      <c r="C262" s="17" t="s">
        <v>93</v>
      </c>
      <c r="D262" s="18"/>
      <c r="E262" s="18"/>
      <c r="F262" s="18">
        <v>15</v>
      </c>
      <c r="G262" s="18">
        <v>20</v>
      </c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15"/>
      <c r="Z262">
        <v>62.85</v>
      </c>
      <c r="AA262">
        <v>43.92</v>
      </c>
      <c r="AB262" t="s">
        <v>30</v>
      </c>
      <c r="AC262" t="s">
        <v>823</v>
      </c>
      <c r="AD262">
        <v>37.43</v>
      </c>
      <c r="AE262" t="s">
        <v>811</v>
      </c>
      <c r="AG262" t="s">
        <v>811</v>
      </c>
    </row>
    <row r="263" spans="1:33" x14ac:dyDescent="0.25">
      <c r="A263" s="13" t="s">
        <v>795</v>
      </c>
      <c r="B263" s="14" t="s">
        <v>796</v>
      </c>
      <c r="C263" s="14" t="s">
        <v>45</v>
      </c>
      <c r="D263" s="10"/>
      <c r="E263" s="10"/>
      <c r="F263" s="10">
        <v>0</v>
      </c>
      <c r="G263" s="10">
        <v>20</v>
      </c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15"/>
      <c r="Z263">
        <v>59.2</v>
      </c>
      <c r="AA263">
        <v>41.36</v>
      </c>
      <c r="AB263" t="s">
        <v>30</v>
      </c>
      <c r="AC263" t="s">
        <v>824</v>
      </c>
      <c r="AD263">
        <v>40.130000000000003</v>
      </c>
      <c r="AE263" t="s">
        <v>812</v>
      </c>
      <c r="AF263">
        <v>329.13</v>
      </c>
      <c r="AG263" t="s">
        <v>812</v>
      </c>
    </row>
    <row r="264" spans="1:33" x14ac:dyDescent="0.25">
      <c r="A264" s="16" t="s">
        <v>797</v>
      </c>
      <c r="B264" s="17" t="s">
        <v>798</v>
      </c>
      <c r="C264" s="17" t="s">
        <v>274</v>
      </c>
      <c r="D264" s="18"/>
      <c r="E264" s="18"/>
      <c r="F264" s="18">
        <v>0</v>
      </c>
      <c r="G264" s="18">
        <v>20</v>
      </c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15"/>
      <c r="Z264">
        <v>69.2</v>
      </c>
      <c r="AA264">
        <v>48.35</v>
      </c>
      <c r="AB264" t="s">
        <v>30</v>
      </c>
      <c r="AC264" t="s">
        <v>825</v>
      </c>
      <c r="AD264">
        <v>115.02</v>
      </c>
      <c r="AE264" t="s">
        <v>813</v>
      </c>
      <c r="AF264">
        <v>370</v>
      </c>
      <c r="AG264" t="s">
        <v>813</v>
      </c>
    </row>
    <row r="265" spans="1:33" x14ac:dyDescent="0.25">
      <c r="A265" s="13" t="s">
        <v>799</v>
      </c>
      <c r="B265" s="14" t="s">
        <v>800</v>
      </c>
      <c r="C265" s="14" t="s">
        <v>201</v>
      </c>
      <c r="D265" s="10"/>
      <c r="E265" s="10"/>
      <c r="F265" s="10">
        <v>0</v>
      </c>
      <c r="G265" s="10">
        <v>20</v>
      </c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15"/>
      <c r="Z265">
        <v>141</v>
      </c>
      <c r="AA265">
        <v>93.34</v>
      </c>
      <c r="AB265" t="s">
        <v>30</v>
      </c>
      <c r="AC265" t="s">
        <v>826</v>
      </c>
      <c r="AD265">
        <v>110</v>
      </c>
      <c r="AE265" t="s">
        <v>814</v>
      </c>
      <c r="AG265" t="s">
        <v>814</v>
      </c>
    </row>
    <row r="266" spans="1:33" x14ac:dyDescent="0.25">
      <c r="A266" s="16" t="s">
        <v>801</v>
      </c>
      <c r="B266" s="17" t="s">
        <v>802</v>
      </c>
      <c r="C266" s="17" t="s">
        <v>45</v>
      </c>
      <c r="D266" s="18"/>
      <c r="E266" s="18"/>
      <c r="F266" s="18">
        <v>0</v>
      </c>
      <c r="G266" s="18">
        <v>20</v>
      </c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15"/>
      <c r="Z266">
        <v>1395</v>
      </c>
      <c r="AA266">
        <v>942.42</v>
      </c>
      <c r="AB266" t="s">
        <v>30</v>
      </c>
      <c r="AC266" t="s">
        <v>827</v>
      </c>
      <c r="AD266">
        <v>1023.22</v>
      </c>
      <c r="AE266" t="s">
        <v>815</v>
      </c>
      <c r="AG266" t="s">
        <v>815</v>
      </c>
    </row>
    <row r="267" spans="1:33" x14ac:dyDescent="0.25">
      <c r="A267" s="13" t="s">
        <v>803</v>
      </c>
      <c r="B267" s="14" t="s">
        <v>804</v>
      </c>
      <c r="C267" s="14" t="s">
        <v>45</v>
      </c>
      <c r="D267" s="10"/>
      <c r="E267" s="10"/>
      <c r="F267" s="10">
        <v>0</v>
      </c>
      <c r="G267" s="10">
        <v>20</v>
      </c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15"/>
      <c r="Z267">
        <v>294</v>
      </c>
      <c r="AA267">
        <v>198.53</v>
      </c>
      <c r="AB267" t="s">
        <v>30</v>
      </c>
      <c r="AC267" t="s">
        <v>828</v>
      </c>
      <c r="AD267">
        <v>190.08</v>
      </c>
      <c r="AE267" t="s">
        <v>816</v>
      </c>
      <c r="AF267">
        <v>90</v>
      </c>
      <c r="AG267" t="s">
        <v>816</v>
      </c>
    </row>
    <row r="268" spans="1:33" ht="8.1" customHeight="1" thickBot="1" x14ac:dyDescent="0.3"/>
    <row r="269" spans="1:33" x14ac:dyDescent="0.25">
      <c r="A269" s="30" t="s">
        <v>829</v>
      </c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</row>
    <row r="270" spans="1:33" x14ac:dyDescent="0.25">
      <c r="A270" s="13" t="s">
        <v>830</v>
      </c>
      <c r="B270" s="14" t="s">
        <v>254</v>
      </c>
      <c r="C270" s="14" t="s">
        <v>253</v>
      </c>
      <c r="D270" s="10">
        <v>39.39</v>
      </c>
      <c r="E270" s="10">
        <v>0.44</v>
      </c>
      <c r="F270" s="10">
        <v>0</v>
      </c>
      <c r="G270" s="10">
        <v>20</v>
      </c>
      <c r="H270" s="8">
        <v>0.39390000000000003</v>
      </c>
      <c r="I270" s="8">
        <v>1.76</v>
      </c>
      <c r="J270" s="8">
        <v>41.543900000000001</v>
      </c>
      <c r="K270" s="8">
        <v>0</v>
      </c>
      <c r="L270" s="8">
        <v>0.2077195</v>
      </c>
      <c r="M270" s="8">
        <v>6.2627429250000004</v>
      </c>
      <c r="N270" s="8">
        <v>6.470462425</v>
      </c>
      <c r="O270" s="8">
        <v>1.9695</v>
      </c>
      <c r="P270" s="8">
        <v>1.8722000000000001</v>
      </c>
      <c r="Q270" s="8">
        <v>5.0549400000000001E-2</v>
      </c>
      <c r="R270" s="8">
        <v>3.1827400000000006E-2</v>
      </c>
      <c r="S270" s="8">
        <v>0.43371428571428566</v>
      </c>
      <c r="T270" s="8">
        <v>2.3882910857142856</v>
      </c>
      <c r="U270" s="8">
        <v>50.218253510714284</v>
      </c>
      <c r="V270" s="8">
        <v>10.043650702142857</v>
      </c>
      <c r="W270" s="8">
        <v>6.2627429250000004</v>
      </c>
      <c r="X270" s="15">
        <v>53.999161287857142</v>
      </c>
      <c r="AA270">
        <v>135.59</v>
      </c>
      <c r="AB270" t="s">
        <v>30</v>
      </c>
      <c r="AC270" t="s">
        <v>971</v>
      </c>
      <c r="AD270">
        <v>55.46</v>
      </c>
      <c r="AE270" t="s">
        <v>919</v>
      </c>
      <c r="AF270">
        <v>39.39</v>
      </c>
      <c r="AG270" t="s">
        <v>919</v>
      </c>
    </row>
    <row r="271" spans="1:33" x14ac:dyDescent="0.25">
      <c r="A271" s="16" t="s">
        <v>831</v>
      </c>
      <c r="B271" s="17" t="s">
        <v>196</v>
      </c>
      <c r="C271" s="17" t="s">
        <v>47</v>
      </c>
      <c r="D271" s="10">
        <v>1952.24</v>
      </c>
      <c r="E271" s="18">
        <v>18.649000000000001</v>
      </c>
      <c r="F271" s="18">
        <v>15</v>
      </c>
      <c r="G271" s="18">
        <v>20</v>
      </c>
      <c r="H271" s="8">
        <v>19.522400000000001</v>
      </c>
      <c r="I271" s="8">
        <v>74.596000000000004</v>
      </c>
      <c r="J271" s="8">
        <v>2046.3584000000001</v>
      </c>
      <c r="K271" s="8">
        <v>306.95375999999999</v>
      </c>
      <c r="L271" s="8">
        <v>10.231792</v>
      </c>
      <c r="M271" s="8">
        <v>354.5315928</v>
      </c>
      <c r="N271" s="8">
        <v>671.71714479999991</v>
      </c>
      <c r="O271" s="8">
        <v>97.612000000000009</v>
      </c>
      <c r="P271" s="8">
        <v>79.351495</v>
      </c>
      <c r="Q271" s="8">
        <v>2.142490365</v>
      </c>
      <c r="R271" s="8">
        <v>1.3489754150000002</v>
      </c>
      <c r="S271" s="8">
        <v>18.382585714285714</v>
      </c>
      <c r="T271" s="8">
        <v>101.22554649428571</v>
      </c>
      <c r="U271" s="8">
        <v>2822.7946912942853</v>
      </c>
      <c r="V271" s="8">
        <v>564.5589382588571</v>
      </c>
      <c r="W271" s="8">
        <v>354.5315928</v>
      </c>
      <c r="X271" s="15">
        <v>3032.8220367531421</v>
      </c>
      <c r="AA271">
        <v>529.36</v>
      </c>
      <c r="AB271" t="s">
        <v>30</v>
      </c>
      <c r="AC271" t="s">
        <v>972</v>
      </c>
      <c r="AD271">
        <v>1952.24</v>
      </c>
      <c r="AE271" t="s">
        <v>920</v>
      </c>
      <c r="AG271" t="s">
        <v>920</v>
      </c>
    </row>
    <row r="272" spans="1:33" x14ac:dyDescent="0.25">
      <c r="A272" s="13" t="s">
        <v>832</v>
      </c>
      <c r="B272" s="14" t="s">
        <v>258</v>
      </c>
      <c r="C272" s="14" t="s">
        <v>201</v>
      </c>
      <c r="D272" s="10">
        <v>167.46</v>
      </c>
      <c r="E272" s="10">
        <v>4.4349999999999996</v>
      </c>
      <c r="F272" s="10">
        <v>0</v>
      </c>
      <c r="G272" s="10">
        <v>20</v>
      </c>
      <c r="H272" s="8">
        <v>1.6746000000000001</v>
      </c>
      <c r="I272" s="8">
        <v>17.739999999999998</v>
      </c>
      <c r="J272" s="8">
        <v>186.87460000000002</v>
      </c>
      <c r="K272" s="8">
        <v>0</v>
      </c>
      <c r="L272" s="8">
        <v>0.93437300000000012</v>
      </c>
      <c r="M272" s="8">
        <v>28.171345949999999</v>
      </c>
      <c r="N272" s="8">
        <v>29.10571895</v>
      </c>
      <c r="O272" s="8">
        <v>8.3730000000000011</v>
      </c>
      <c r="P272" s="8">
        <v>18.870924999999996</v>
      </c>
      <c r="Q272" s="8">
        <v>0.50951497499999987</v>
      </c>
      <c r="R272" s="8">
        <v>0.32080572499999993</v>
      </c>
      <c r="S272" s="8">
        <v>4.3716428571428558</v>
      </c>
      <c r="T272" s="8">
        <v>24.07288855714285</v>
      </c>
      <c r="U272" s="8">
        <v>229.01160750714286</v>
      </c>
      <c r="V272" s="8">
        <v>45.802321501428573</v>
      </c>
      <c r="W272" s="8">
        <v>28.171345949999999</v>
      </c>
      <c r="X272" s="15">
        <v>246.64258305857146</v>
      </c>
      <c r="AA272">
        <v>1608.82</v>
      </c>
      <c r="AB272" t="s">
        <v>30</v>
      </c>
      <c r="AC272" t="s">
        <v>973</v>
      </c>
      <c r="AD272">
        <v>381.25</v>
      </c>
      <c r="AE272" t="s">
        <v>921</v>
      </c>
      <c r="AF272">
        <v>167.46</v>
      </c>
      <c r="AG272" t="s">
        <v>921</v>
      </c>
    </row>
    <row r="273" spans="1:33" x14ac:dyDescent="0.25">
      <c r="A273" s="16" t="s">
        <v>833</v>
      </c>
      <c r="B273" s="17" t="s">
        <v>834</v>
      </c>
      <c r="C273" s="17" t="s">
        <v>274</v>
      </c>
      <c r="D273" s="10">
        <v>50.01</v>
      </c>
      <c r="E273" s="18">
        <v>0.28899999999999998</v>
      </c>
      <c r="F273" s="18">
        <v>0</v>
      </c>
      <c r="G273" s="18">
        <v>20</v>
      </c>
      <c r="H273" s="8">
        <v>0.50009999999999999</v>
      </c>
      <c r="I273" s="8">
        <v>1.1559999999999999</v>
      </c>
      <c r="J273" s="8">
        <v>51.6661</v>
      </c>
      <c r="K273" s="8">
        <v>0</v>
      </c>
      <c r="L273" s="8">
        <v>0.25833050000000002</v>
      </c>
      <c r="M273" s="8">
        <v>7.7886645749999994</v>
      </c>
      <c r="N273" s="8">
        <v>8.0469950749999999</v>
      </c>
      <c r="O273" s="8">
        <v>2.5005000000000002</v>
      </c>
      <c r="P273" s="8">
        <v>1.2296949999999998</v>
      </c>
      <c r="Q273" s="8">
        <v>3.3201764999999994E-2</v>
      </c>
      <c r="R273" s="8">
        <v>2.0904814999999997E-2</v>
      </c>
      <c r="S273" s="8">
        <v>0.2848714285714285</v>
      </c>
      <c r="T273" s="8">
        <v>1.5686730085714282</v>
      </c>
      <c r="U273" s="8">
        <v>62.126168083571429</v>
      </c>
      <c r="V273" s="8">
        <v>12.425233616714287</v>
      </c>
      <c r="W273" s="8">
        <v>7.7886645749999994</v>
      </c>
      <c r="X273" s="15">
        <v>66.76273712528571</v>
      </c>
      <c r="AA273">
        <v>1380.58</v>
      </c>
      <c r="AB273" t="s">
        <v>30</v>
      </c>
      <c r="AC273" t="s">
        <v>974</v>
      </c>
      <c r="AD273">
        <v>73.02</v>
      </c>
      <c r="AE273" t="s">
        <v>922</v>
      </c>
      <c r="AF273">
        <v>50.01</v>
      </c>
      <c r="AG273" t="s">
        <v>922</v>
      </c>
    </row>
    <row r="274" spans="1:33" x14ac:dyDescent="0.25">
      <c r="A274" s="13" t="s">
        <v>835</v>
      </c>
      <c r="B274" s="14" t="s">
        <v>679</v>
      </c>
      <c r="C274" s="19"/>
      <c r="D274" s="10">
        <v>315.89999999999998</v>
      </c>
      <c r="E274" s="10">
        <v>1.1000000000000001</v>
      </c>
      <c r="F274" s="10"/>
      <c r="G274" s="10">
        <v>20</v>
      </c>
      <c r="H274" s="8">
        <v>3.1589999999999998</v>
      </c>
      <c r="I274" s="8">
        <v>4.4000000000000004</v>
      </c>
      <c r="J274" s="8">
        <v>323.45899999999995</v>
      </c>
      <c r="K274" s="8">
        <v>0</v>
      </c>
      <c r="L274" s="8">
        <v>1.6172949999999997</v>
      </c>
      <c r="M274" s="8">
        <v>48.76144424999999</v>
      </c>
      <c r="N274" s="8">
        <v>50.378739249999988</v>
      </c>
      <c r="O274" s="8">
        <v>15.795</v>
      </c>
      <c r="P274" s="8">
        <v>4.6805000000000003</v>
      </c>
      <c r="Q274" s="8">
        <v>0.1263735</v>
      </c>
      <c r="R274" s="8">
        <v>7.9568500000000014E-2</v>
      </c>
      <c r="S274" s="8">
        <v>1.0842857142857141</v>
      </c>
      <c r="T274" s="8">
        <v>5.9707277142857134</v>
      </c>
      <c r="U274" s="8">
        <v>388.04446696428568</v>
      </c>
      <c r="V274" s="8">
        <v>77.608893392857141</v>
      </c>
      <c r="W274" s="8">
        <v>48.76144424999999</v>
      </c>
      <c r="X274" s="15">
        <v>416.89191610714278</v>
      </c>
      <c r="AA274">
        <v>1429.91</v>
      </c>
      <c r="AB274" t="s">
        <v>30</v>
      </c>
      <c r="AC274" t="s">
        <v>975</v>
      </c>
      <c r="AD274">
        <v>106.09</v>
      </c>
      <c r="AE274" t="s">
        <v>923</v>
      </c>
      <c r="AF274">
        <v>315.89999999999998</v>
      </c>
      <c r="AG274" t="s">
        <v>923</v>
      </c>
    </row>
    <row r="275" spans="1:33" x14ac:dyDescent="0.25">
      <c r="A275" s="16" t="s">
        <v>836</v>
      </c>
      <c r="B275" s="17" t="s">
        <v>837</v>
      </c>
      <c r="C275" s="17" t="s">
        <v>85</v>
      </c>
      <c r="D275" s="10">
        <v>65</v>
      </c>
      <c r="E275" s="18">
        <v>0.41</v>
      </c>
      <c r="F275" s="18">
        <v>20</v>
      </c>
      <c r="G275" s="18">
        <v>20</v>
      </c>
      <c r="H275" s="8">
        <v>0.65</v>
      </c>
      <c r="I275" s="8">
        <v>1.64</v>
      </c>
      <c r="J275" s="8">
        <v>67.290000000000006</v>
      </c>
      <c r="K275" s="8">
        <v>13.458000000000002</v>
      </c>
      <c r="L275" s="8">
        <v>0.33645000000000003</v>
      </c>
      <c r="M275" s="8">
        <v>12.1626675</v>
      </c>
      <c r="N275" s="8">
        <v>25.957117500000003</v>
      </c>
      <c r="O275" s="8">
        <v>3.25</v>
      </c>
      <c r="P275" s="8">
        <v>1.7445499999999998</v>
      </c>
      <c r="Q275" s="8">
        <v>4.7102849999999995E-2</v>
      </c>
      <c r="R275" s="8">
        <v>2.9657349999999999E-2</v>
      </c>
      <c r="S275" s="8">
        <v>0.40414285714285703</v>
      </c>
      <c r="T275" s="8">
        <v>2.2254530571428566</v>
      </c>
      <c r="U275" s="8">
        <v>96.432570557142867</v>
      </c>
      <c r="V275" s="8">
        <v>19.286514111428573</v>
      </c>
      <c r="W275" s="8">
        <v>12.1626675</v>
      </c>
      <c r="X275" s="15">
        <v>103.55641716857144</v>
      </c>
      <c r="AA275">
        <v>1504.05</v>
      </c>
      <c r="AB275" t="s">
        <v>30</v>
      </c>
      <c r="AC275" t="s">
        <v>976</v>
      </c>
      <c r="AD275">
        <v>65</v>
      </c>
      <c r="AE275" t="s">
        <v>924</v>
      </c>
      <c r="AF275">
        <v>30.58</v>
      </c>
      <c r="AG275" t="s">
        <v>924</v>
      </c>
    </row>
    <row r="276" spans="1:33" x14ac:dyDescent="0.25">
      <c r="A276" s="13" t="s">
        <v>838</v>
      </c>
      <c r="B276" s="14" t="s">
        <v>84</v>
      </c>
      <c r="C276" s="14" t="s">
        <v>85</v>
      </c>
      <c r="D276" s="10">
        <v>217.5</v>
      </c>
      <c r="E276" s="10">
        <v>0.97799999999999998</v>
      </c>
      <c r="F276" s="10">
        <v>20</v>
      </c>
      <c r="G276" s="10">
        <v>20</v>
      </c>
      <c r="H276" s="8">
        <v>2.1750000000000003</v>
      </c>
      <c r="I276" s="8">
        <v>3.9119999999999999</v>
      </c>
      <c r="J276" s="8">
        <v>223.58700000000002</v>
      </c>
      <c r="K276" s="8">
        <v>44.717400000000005</v>
      </c>
      <c r="L276" s="8">
        <v>1.1179350000000001</v>
      </c>
      <c r="M276" s="8">
        <v>40.413350250000001</v>
      </c>
      <c r="N276" s="8">
        <v>86.248685250000008</v>
      </c>
      <c r="O276" s="8">
        <v>10.875</v>
      </c>
      <c r="P276" s="8">
        <v>4.1613899999999999</v>
      </c>
      <c r="Q276" s="8">
        <v>0.11235753</v>
      </c>
      <c r="R276" s="8">
        <v>7.0743630000000002E-2</v>
      </c>
      <c r="S276" s="8">
        <v>0.96402857142857123</v>
      </c>
      <c r="T276" s="8">
        <v>5.3085197314285706</v>
      </c>
      <c r="U276" s="8">
        <v>319.93220498142858</v>
      </c>
      <c r="V276" s="8">
        <v>63.986440996285722</v>
      </c>
      <c r="W276" s="8">
        <v>40.413350250000001</v>
      </c>
      <c r="X276" s="15">
        <v>343.50529572771427</v>
      </c>
      <c r="AA276">
        <v>1584.98</v>
      </c>
      <c r="AB276" t="s">
        <v>30</v>
      </c>
      <c r="AC276" t="s">
        <v>977</v>
      </c>
      <c r="AD276">
        <v>217.5</v>
      </c>
      <c r="AE276" t="s">
        <v>925</v>
      </c>
      <c r="AG276" t="s">
        <v>925</v>
      </c>
    </row>
    <row r="277" spans="1:33" x14ac:dyDescent="0.25">
      <c r="A277" s="16" t="s">
        <v>839</v>
      </c>
      <c r="B277" s="17" t="s">
        <v>840</v>
      </c>
      <c r="C277" s="19"/>
      <c r="D277" s="10">
        <v>0</v>
      </c>
      <c r="E277" s="18"/>
      <c r="F277" s="18"/>
      <c r="G277" s="18">
        <v>20</v>
      </c>
      <c r="H277" s="8">
        <v>0</v>
      </c>
      <c r="I277" s="8"/>
      <c r="J277" s="8"/>
      <c r="K277" s="8"/>
      <c r="L277" s="8"/>
      <c r="M277" s="8"/>
      <c r="N277" s="8"/>
      <c r="O277" s="8">
        <v>0</v>
      </c>
      <c r="P277" s="8"/>
      <c r="Q277" s="8"/>
      <c r="R277" s="8"/>
      <c r="S277" s="8"/>
      <c r="T277" s="8"/>
      <c r="U277" s="8"/>
      <c r="V277" s="8"/>
      <c r="W277" s="8"/>
      <c r="X277" s="15"/>
      <c r="AB277" t="s">
        <v>30</v>
      </c>
      <c r="AE277" t="s">
        <v>926</v>
      </c>
      <c r="AG277" t="s">
        <v>926</v>
      </c>
    </row>
    <row r="278" spans="1:33" x14ac:dyDescent="0.25">
      <c r="A278" s="13" t="s">
        <v>841</v>
      </c>
      <c r="B278" s="14" t="s">
        <v>842</v>
      </c>
      <c r="C278" s="19"/>
      <c r="D278" s="10">
        <v>0</v>
      </c>
      <c r="E278" s="10"/>
      <c r="F278" s="10"/>
      <c r="G278" s="10">
        <v>20</v>
      </c>
      <c r="H278" s="8">
        <v>0</v>
      </c>
      <c r="I278" s="8"/>
      <c r="J278" s="8"/>
      <c r="K278" s="8"/>
      <c r="L278" s="8"/>
      <c r="M278" s="8"/>
      <c r="N278" s="8"/>
      <c r="O278" s="8">
        <v>0</v>
      </c>
      <c r="P278" s="8"/>
      <c r="Q278" s="8"/>
      <c r="R278" s="8"/>
      <c r="S278" s="8"/>
      <c r="T278" s="8"/>
      <c r="U278" s="8"/>
      <c r="V278" s="8"/>
      <c r="W278" s="8"/>
      <c r="X278" s="15"/>
      <c r="AB278" t="s">
        <v>30</v>
      </c>
      <c r="AE278" t="s">
        <v>927</v>
      </c>
      <c r="AG278" t="s">
        <v>927</v>
      </c>
    </row>
    <row r="279" spans="1:33" x14ac:dyDescent="0.25">
      <c r="A279" s="16" t="s">
        <v>843</v>
      </c>
      <c r="B279" s="17" t="s">
        <v>844</v>
      </c>
      <c r="C279" s="19"/>
      <c r="D279" s="10">
        <v>485.77</v>
      </c>
      <c r="E279" s="18">
        <v>7.0389999999999997</v>
      </c>
      <c r="F279" s="18"/>
      <c r="G279" s="18">
        <v>20</v>
      </c>
      <c r="H279" s="8">
        <v>4.8577000000000004</v>
      </c>
      <c r="I279" s="8">
        <v>28.155999999999999</v>
      </c>
      <c r="J279" s="8">
        <v>518.78369999999995</v>
      </c>
      <c r="K279" s="8">
        <v>0</v>
      </c>
      <c r="L279" s="8">
        <v>2.5939185</v>
      </c>
      <c r="M279" s="8">
        <v>78.206642774999992</v>
      </c>
      <c r="N279" s="8">
        <v>80.800561274999993</v>
      </c>
      <c r="O279" s="8">
        <v>24.288499999999999</v>
      </c>
      <c r="P279" s="8">
        <v>29.950944999999997</v>
      </c>
      <c r="Q279" s="8">
        <v>0.8086755149999999</v>
      </c>
      <c r="R279" s="8">
        <v>0.50916606499999995</v>
      </c>
      <c r="S279" s="8">
        <v>6.9384428571428556</v>
      </c>
      <c r="T279" s="8">
        <v>38.20722943714285</v>
      </c>
      <c r="U279" s="8">
        <v>629.06629071214275</v>
      </c>
      <c r="V279" s="8">
        <v>125.81325814242855</v>
      </c>
      <c r="W279" s="8">
        <v>78.206642774999992</v>
      </c>
      <c r="X279" s="15">
        <v>676.67290607957136</v>
      </c>
      <c r="AA279">
        <v>1821.05</v>
      </c>
      <c r="AB279" t="s">
        <v>30</v>
      </c>
      <c r="AC279" t="s">
        <v>978</v>
      </c>
      <c r="AD279">
        <v>485.77</v>
      </c>
      <c r="AE279" t="s">
        <v>928</v>
      </c>
      <c r="AG279" t="s">
        <v>928</v>
      </c>
    </row>
    <row r="280" spans="1:33" x14ac:dyDescent="0.25">
      <c r="A280" s="13" t="s">
        <v>845</v>
      </c>
      <c r="B280" s="14" t="s">
        <v>124</v>
      </c>
      <c r="C280" s="14" t="s">
        <v>125</v>
      </c>
      <c r="D280" s="10">
        <v>804.37</v>
      </c>
      <c r="E280" s="10">
        <v>3.605</v>
      </c>
      <c r="F280" s="10">
        <v>0</v>
      </c>
      <c r="G280" s="10">
        <v>20</v>
      </c>
      <c r="H280" s="8">
        <v>8.0436999999999994</v>
      </c>
      <c r="I280" s="8">
        <v>14.42</v>
      </c>
      <c r="J280" s="8">
        <v>826.83369999999991</v>
      </c>
      <c r="K280" s="8">
        <v>0</v>
      </c>
      <c r="L280" s="8">
        <v>4.1341684999999995</v>
      </c>
      <c r="M280" s="8">
        <v>124.64518027499997</v>
      </c>
      <c r="N280" s="8">
        <v>128.77934877499996</v>
      </c>
      <c r="O280" s="8">
        <v>40.218500000000006</v>
      </c>
      <c r="P280" s="8">
        <v>15.339274999999999</v>
      </c>
      <c r="Q280" s="8">
        <v>0.41416042499999994</v>
      </c>
      <c r="R280" s="8">
        <v>0.26076767499999998</v>
      </c>
      <c r="S280" s="8">
        <v>3.5534999999999997</v>
      </c>
      <c r="T280" s="8">
        <v>19.567703099999999</v>
      </c>
      <c r="U280" s="8">
        <v>992.9355518750001</v>
      </c>
      <c r="V280" s="8">
        <v>198.58711037500004</v>
      </c>
      <c r="W280" s="8">
        <v>124.64518027499997</v>
      </c>
      <c r="X280" s="15">
        <v>1066.8774819750001</v>
      </c>
      <c r="AA280">
        <v>2139.88</v>
      </c>
      <c r="AB280" t="s">
        <v>30</v>
      </c>
      <c r="AC280" t="s">
        <v>979</v>
      </c>
      <c r="AD280">
        <v>804.37</v>
      </c>
      <c r="AE280" t="s">
        <v>929</v>
      </c>
      <c r="AG280" t="s">
        <v>929</v>
      </c>
    </row>
    <row r="281" spans="1:33" x14ac:dyDescent="0.25">
      <c r="A281" s="16" t="s">
        <v>846</v>
      </c>
      <c r="B281" s="17" t="s">
        <v>87</v>
      </c>
      <c r="C281" s="17" t="s">
        <v>41</v>
      </c>
      <c r="D281" s="10">
        <v>462.13</v>
      </c>
      <c r="E281" s="18">
        <v>4.5819999999999999</v>
      </c>
      <c r="F281" s="18">
        <v>15</v>
      </c>
      <c r="G281" s="18">
        <v>20</v>
      </c>
      <c r="H281" s="8">
        <v>4.6212999999999997</v>
      </c>
      <c r="I281" s="8">
        <v>18.327999999999999</v>
      </c>
      <c r="J281" s="8">
        <v>485.07929999999999</v>
      </c>
      <c r="K281" s="8">
        <v>72.761894999999996</v>
      </c>
      <c r="L281" s="8">
        <v>2.4253965000000002</v>
      </c>
      <c r="M281" s="8">
        <v>84.039988725000001</v>
      </c>
      <c r="N281" s="8">
        <v>159.22728022500002</v>
      </c>
      <c r="O281" s="8">
        <v>23.1065</v>
      </c>
      <c r="P281" s="8">
        <v>19.496410000000001</v>
      </c>
      <c r="Q281" s="8">
        <v>0.52640306999999997</v>
      </c>
      <c r="R281" s="8">
        <v>0.33143897000000005</v>
      </c>
      <c r="S281" s="8">
        <v>4.5165428571428565</v>
      </c>
      <c r="T281" s="8">
        <v>24.870794897142858</v>
      </c>
      <c r="U281" s="8">
        <v>669.33457512214284</v>
      </c>
      <c r="V281" s="8">
        <v>133.86691502442858</v>
      </c>
      <c r="W281" s="8">
        <v>84.039988725000001</v>
      </c>
      <c r="X281" s="15">
        <v>719.1615014215713</v>
      </c>
      <c r="AA281">
        <v>2808.73</v>
      </c>
      <c r="AB281" t="s">
        <v>30</v>
      </c>
      <c r="AC281" t="s">
        <v>980</v>
      </c>
      <c r="AD281">
        <v>462.13</v>
      </c>
      <c r="AE281" t="s">
        <v>930</v>
      </c>
      <c r="AG281" t="s">
        <v>930</v>
      </c>
    </row>
    <row r="282" spans="1:33" x14ac:dyDescent="0.25">
      <c r="A282" s="13" t="s">
        <v>847</v>
      </c>
      <c r="B282" s="14" t="s">
        <v>848</v>
      </c>
      <c r="C282" s="14" t="s">
        <v>90</v>
      </c>
      <c r="D282" s="10">
        <v>0</v>
      </c>
      <c r="E282" s="10">
        <v>0.7</v>
      </c>
      <c r="F282" s="10">
        <v>15</v>
      </c>
      <c r="G282" s="10">
        <v>20</v>
      </c>
      <c r="H282" s="8">
        <v>0</v>
      </c>
      <c r="I282" s="8">
        <v>2.8</v>
      </c>
      <c r="J282" s="8">
        <v>2.8</v>
      </c>
      <c r="K282" s="8">
        <v>0.42</v>
      </c>
      <c r="L282" s="8">
        <v>1.3999999999999999E-2</v>
      </c>
      <c r="M282" s="8">
        <v>0.48509999999999992</v>
      </c>
      <c r="N282" s="8">
        <v>0.91909999999999992</v>
      </c>
      <c r="O282" s="8">
        <v>0</v>
      </c>
      <c r="P282" s="8">
        <v>2.9784999999999995</v>
      </c>
      <c r="Q282" s="8">
        <v>8.0419499999999991E-2</v>
      </c>
      <c r="R282" s="8">
        <v>5.0634499999999992E-2</v>
      </c>
      <c r="S282" s="8">
        <v>0.69</v>
      </c>
      <c r="T282" s="8">
        <v>3.7995539999999997</v>
      </c>
      <c r="U282" s="8">
        <v>4.7186539999999999</v>
      </c>
      <c r="V282" s="8">
        <v>0.94373079999999998</v>
      </c>
      <c r="W282" s="8">
        <v>0.48509999999999992</v>
      </c>
      <c r="X282" s="15">
        <v>5.1772847999999998</v>
      </c>
      <c r="AA282">
        <v>2703.34</v>
      </c>
      <c r="AB282" t="s">
        <v>30</v>
      </c>
      <c r="AC282" t="s">
        <v>981</v>
      </c>
      <c r="AE282" t="s">
        <v>931</v>
      </c>
      <c r="AF282">
        <v>157.66</v>
      </c>
      <c r="AG282" t="s">
        <v>931</v>
      </c>
    </row>
    <row r="283" spans="1:33" x14ac:dyDescent="0.25">
      <c r="A283" s="16" t="s">
        <v>849</v>
      </c>
      <c r="B283" s="17" t="s">
        <v>850</v>
      </c>
      <c r="C283" s="17" t="s">
        <v>90</v>
      </c>
      <c r="D283" s="10">
        <v>0</v>
      </c>
      <c r="E283" s="18">
        <v>0.5</v>
      </c>
      <c r="F283" s="18">
        <v>15</v>
      </c>
      <c r="G283" s="18">
        <v>20</v>
      </c>
      <c r="H283" s="8">
        <v>0</v>
      </c>
      <c r="I283" s="8">
        <v>2</v>
      </c>
      <c r="J283" s="8">
        <v>2</v>
      </c>
      <c r="K283" s="8">
        <v>0.3</v>
      </c>
      <c r="L283" s="8">
        <v>0.01</v>
      </c>
      <c r="M283" s="8">
        <v>0.34649999999999992</v>
      </c>
      <c r="N283" s="8">
        <v>0.65649999999999986</v>
      </c>
      <c r="O283" s="8">
        <v>0</v>
      </c>
      <c r="P283" s="8">
        <v>2.1274999999999999</v>
      </c>
      <c r="Q283" s="8">
        <v>5.7442500000000001E-2</v>
      </c>
      <c r="R283" s="8">
        <v>3.6167499999999998E-2</v>
      </c>
      <c r="S283" s="8">
        <v>0.49285714285714277</v>
      </c>
      <c r="T283" s="8">
        <v>2.7139671428571428</v>
      </c>
      <c r="U283" s="8">
        <v>3.3704671428571427</v>
      </c>
      <c r="V283" s="8">
        <v>0.67409342857142862</v>
      </c>
      <c r="W283" s="8">
        <v>0.34649999999999992</v>
      </c>
      <c r="X283" s="15">
        <v>3.698060571428571</v>
      </c>
      <c r="AA283">
        <v>2693.15</v>
      </c>
      <c r="AB283" t="s">
        <v>30</v>
      </c>
      <c r="AC283" t="s">
        <v>982</v>
      </c>
      <c r="AE283" t="s">
        <v>932</v>
      </c>
      <c r="AF283">
        <v>100.5</v>
      </c>
      <c r="AG283" t="s">
        <v>932</v>
      </c>
    </row>
    <row r="284" spans="1:33" x14ac:dyDescent="0.25">
      <c r="A284" s="13" t="s">
        <v>851</v>
      </c>
      <c r="B284" s="14" t="s">
        <v>852</v>
      </c>
      <c r="C284" s="14" t="s">
        <v>80</v>
      </c>
      <c r="D284" s="10">
        <v>69.180000000000007</v>
      </c>
      <c r="E284" s="10">
        <v>0.25</v>
      </c>
      <c r="F284" s="10">
        <v>8</v>
      </c>
      <c r="G284" s="10">
        <v>20</v>
      </c>
      <c r="H284" s="8">
        <v>0.69180000000000008</v>
      </c>
      <c r="I284" s="8">
        <v>1</v>
      </c>
      <c r="J284" s="8">
        <v>70.871800000000007</v>
      </c>
      <c r="K284" s="8">
        <v>5.6697440000000006</v>
      </c>
      <c r="L284" s="8">
        <v>0.35435900000000004</v>
      </c>
      <c r="M284" s="8">
        <v>11.53438545</v>
      </c>
      <c r="N284" s="8">
        <v>17.558488449999999</v>
      </c>
      <c r="O284" s="8">
        <v>3.4590000000000005</v>
      </c>
      <c r="P284" s="8">
        <v>1.06375</v>
      </c>
      <c r="Q284" s="8">
        <v>2.872125E-2</v>
      </c>
      <c r="R284" s="8">
        <v>1.8083749999999999E-2</v>
      </c>
      <c r="S284" s="8">
        <v>0.24642857142857139</v>
      </c>
      <c r="T284" s="8">
        <v>1.3569835714285714</v>
      </c>
      <c r="U284" s="8">
        <v>91.55447202142858</v>
      </c>
      <c r="V284" s="8">
        <v>18.310894404285715</v>
      </c>
      <c r="W284" s="8">
        <v>11.53438545</v>
      </c>
      <c r="X284" s="15">
        <v>98.330980975714297</v>
      </c>
      <c r="AA284">
        <v>2831.33</v>
      </c>
      <c r="AB284" t="s">
        <v>30</v>
      </c>
      <c r="AC284" t="s">
        <v>983</v>
      </c>
      <c r="AD284">
        <v>69.180000000000007</v>
      </c>
      <c r="AE284" t="s">
        <v>933</v>
      </c>
      <c r="AG284" t="s">
        <v>933</v>
      </c>
    </row>
    <row r="285" spans="1:33" x14ac:dyDescent="0.25">
      <c r="A285" s="16" t="s">
        <v>853</v>
      </c>
      <c r="B285" s="17" t="s">
        <v>854</v>
      </c>
      <c r="C285" s="17" t="s">
        <v>80</v>
      </c>
      <c r="D285" s="10">
        <v>53.84</v>
      </c>
      <c r="E285" s="18">
        <v>3.9E-2</v>
      </c>
      <c r="F285" s="18">
        <v>8</v>
      </c>
      <c r="G285" s="18">
        <v>20</v>
      </c>
      <c r="H285" s="8">
        <v>0.5384000000000001</v>
      </c>
      <c r="I285" s="8">
        <v>0.156</v>
      </c>
      <c r="J285" s="8">
        <v>54.534400000000005</v>
      </c>
      <c r="K285" s="8">
        <v>4.3627520000000004</v>
      </c>
      <c r="L285" s="8">
        <v>0.27267200000000003</v>
      </c>
      <c r="M285" s="8">
        <v>8.8754736000000012</v>
      </c>
      <c r="N285" s="8">
        <v>13.510897600000002</v>
      </c>
      <c r="O285" s="8">
        <v>2.6920000000000002</v>
      </c>
      <c r="P285" s="8">
        <v>0.16594500000000001</v>
      </c>
      <c r="Q285" s="8">
        <v>4.480515E-3</v>
      </c>
      <c r="R285" s="8">
        <v>2.8210650000000002E-3</v>
      </c>
      <c r="S285" s="8">
        <v>3.844285714285714E-2</v>
      </c>
      <c r="T285" s="8">
        <v>0.21168943714285715</v>
      </c>
      <c r="U285" s="8">
        <v>70.254587037142855</v>
      </c>
      <c r="V285" s="8">
        <v>14.050917407428571</v>
      </c>
      <c r="W285" s="8">
        <v>8.8754736000000012</v>
      </c>
      <c r="X285" s="15">
        <v>75.430030844571419</v>
      </c>
      <c r="AA285">
        <v>2820.42</v>
      </c>
      <c r="AB285" t="s">
        <v>30</v>
      </c>
      <c r="AC285" t="s">
        <v>984</v>
      </c>
      <c r="AD285">
        <v>53.84</v>
      </c>
      <c r="AE285" t="s">
        <v>934</v>
      </c>
      <c r="AF285">
        <v>63.17</v>
      </c>
      <c r="AG285" t="s">
        <v>934</v>
      </c>
    </row>
    <row r="286" spans="1:33" x14ac:dyDescent="0.25">
      <c r="A286" s="13" t="s">
        <v>855</v>
      </c>
      <c r="B286" s="14" t="s">
        <v>267</v>
      </c>
      <c r="C286" s="14" t="s">
        <v>268</v>
      </c>
      <c r="D286" s="10">
        <v>63.59</v>
      </c>
      <c r="E286" s="10">
        <v>4.609</v>
      </c>
      <c r="F286" s="10">
        <v>5</v>
      </c>
      <c r="G286" s="10">
        <v>20</v>
      </c>
      <c r="H286" s="8">
        <v>0.63590000000000002</v>
      </c>
      <c r="I286" s="8">
        <v>18.436</v>
      </c>
      <c r="J286" s="8">
        <v>82.661900000000003</v>
      </c>
      <c r="K286" s="8">
        <v>4.133095</v>
      </c>
      <c r="L286" s="8">
        <v>0.4133095</v>
      </c>
      <c r="M286" s="8">
        <v>13.081245675</v>
      </c>
      <c r="N286" s="8">
        <v>17.627650174999999</v>
      </c>
      <c r="O286" s="8">
        <v>3.1795000000000004</v>
      </c>
      <c r="P286" s="8">
        <v>19.611294999999998</v>
      </c>
      <c r="Q286" s="8">
        <v>0.52950496499999999</v>
      </c>
      <c r="R286" s="8">
        <v>0.33339201499999999</v>
      </c>
      <c r="S286" s="8">
        <v>4.543157142857142</v>
      </c>
      <c r="T286" s="8">
        <v>25.017349122857141</v>
      </c>
      <c r="U286" s="8">
        <v>109.41449929785715</v>
      </c>
      <c r="V286" s="8">
        <v>21.882899859571431</v>
      </c>
      <c r="W286" s="8">
        <v>13.081245675</v>
      </c>
      <c r="X286" s="15">
        <v>118.21615348242857</v>
      </c>
      <c r="AA286">
        <v>3189.89</v>
      </c>
      <c r="AB286" t="s">
        <v>30</v>
      </c>
      <c r="AC286" t="s">
        <v>985</v>
      </c>
      <c r="AE286" t="s">
        <v>935</v>
      </c>
      <c r="AF286">
        <v>63.59</v>
      </c>
      <c r="AG286" t="s">
        <v>935</v>
      </c>
    </row>
    <row r="287" spans="1:33" x14ac:dyDescent="0.25">
      <c r="A287" s="16" t="s">
        <v>856</v>
      </c>
      <c r="B287" s="17" t="s">
        <v>857</v>
      </c>
      <c r="C287" s="19"/>
      <c r="D287" s="10">
        <v>0</v>
      </c>
      <c r="E287" s="18"/>
      <c r="F287" s="18"/>
      <c r="G287" s="18">
        <v>20</v>
      </c>
      <c r="H287" s="8">
        <v>0</v>
      </c>
      <c r="I287" s="8"/>
      <c r="J287" s="8"/>
      <c r="K287" s="8"/>
      <c r="L287" s="8"/>
      <c r="M287" s="8"/>
      <c r="N287" s="8"/>
      <c r="O287" s="8">
        <v>0</v>
      </c>
      <c r="P287" s="8"/>
      <c r="Q287" s="8"/>
      <c r="R287" s="8"/>
      <c r="S287" s="8"/>
      <c r="T287" s="8"/>
      <c r="U287" s="8"/>
      <c r="V287" s="8"/>
      <c r="W287" s="8"/>
      <c r="X287" s="15"/>
      <c r="AB287" t="s">
        <v>30</v>
      </c>
      <c r="AE287" t="s">
        <v>936</v>
      </c>
      <c r="AG287" t="s">
        <v>936</v>
      </c>
    </row>
    <row r="288" spans="1:33" x14ac:dyDescent="0.25">
      <c r="A288" s="13" t="s">
        <v>858</v>
      </c>
      <c r="B288" s="14" t="s">
        <v>859</v>
      </c>
      <c r="C288" s="14" t="s">
        <v>41</v>
      </c>
      <c r="D288" s="10">
        <v>40.159999999999997</v>
      </c>
      <c r="E288" s="10">
        <v>0.1</v>
      </c>
      <c r="F288" s="10">
        <v>15</v>
      </c>
      <c r="G288" s="10">
        <v>20</v>
      </c>
      <c r="H288" s="8">
        <v>0.40159999999999996</v>
      </c>
      <c r="I288" s="8">
        <v>0.4</v>
      </c>
      <c r="J288" s="8">
        <v>40.961599999999997</v>
      </c>
      <c r="K288" s="8">
        <v>6.144239999999999</v>
      </c>
      <c r="L288" s="8">
        <v>0.20480799999999999</v>
      </c>
      <c r="M288" s="8">
        <v>7.0965971999999988</v>
      </c>
      <c r="N288" s="8">
        <v>13.445645199999998</v>
      </c>
      <c r="O288" s="8">
        <v>2.008</v>
      </c>
      <c r="P288" s="8">
        <v>0.42550000000000004</v>
      </c>
      <c r="Q288" s="8">
        <v>1.14885E-2</v>
      </c>
      <c r="R288" s="8">
        <v>7.2335000000000012E-3</v>
      </c>
      <c r="S288" s="8">
        <v>9.857142857142856E-2</v>
      </c>
      <c r="T288" s="8">
        <v>0.54279342857142865</v>
      </c>
      <c r="U288" s="8">
        <v>56.156438628571422</v>
      </c>
      <c r="V288" s="8">
        <v>11.231287725714285</v>
      </c>
      <c r="W288" s="8">
        <v>7.0965971999999988</v>
      </c>
      <c r="X288" s="15">
        <v>60.291129154285706</v>
      </c>
      <c r="AA288">
        <v>2731.24</v>
      </c>
      <c r="AB288" t="s">
        <v>30</v>
      </c>
      <c r="AC288" t="s">
        <v>986</v>
      </c>
      <c r="AD288">
        <v>40.159999999999997</v>
      </c>
      <c r="AE288" t="s">
        <v>937</v>
      </c>
      <c r="AG288" t="s">
        <v>937</v>
      </c>
    </row>
    <row r="289" spans="1:33" x14ac:dyDescent="0.25">
      <c r="A289" s="16" t="s">
        <v>860</v>
      </c>
      <c r="B289" s="17" t="s">
        <v>861</v>
      </c>
      <c r="C289" s="17" t="s">
        <v>100</v>
      </c>
      <c r="D289" s="10">
        <v>106.21</v>
      </c>
      <c r="E289" s="18">
        <v>1.4359999999999999</v>
      </c>
      <c r="F289" s="18">
        <v>10</v>
      </c>
      <c r="G289" s="18">
        <v>20</v>
      </c>
      <c r="H289" s="8">
        <v>1.0621</v>
      </c>
      <c r="I289" s="8">
        <v>5.7439999999999998</v>
      </c>
      <c r="J289" s="8">
        <v>113.01609999999999</v>
      </c>
      <c r="K289" s="8">
        <v>11.30161</v>
      </c>
      <c r="L289" s="8">
        <v>0.56508049999999999</v>
      </c>
      <c r="M289" s="8">
        <v>18.732418574999997</v>
      </c>
      <c r="N289" s="8">
        <v>30.599109074999998</v>
      </c>
      <c r="O289" s="8">
        <v>5.3105000000000002</v>
      </c>
      <c r="P289" s="8">
        <v>6.1101799999999997</v>
      </c>
      <c r="Q289" s="8">
        <v>0.16497486</v>
      </c>
      <c r="R289" s="8">
        <v>0.10387306</v>
      </c>
      <c r="S289" s="8">
        <v>1.415485714285714</v>
      </c>
      <c r="T289" s="8">
        <v>7.794513634285714</v>
      </c>
      <c r="U289" s="8">
        <v>149.91412270928572</v>
      </c>
      <c r="V289" s="8">
        <v>29.982824541857145</v>
      </c>
      <c r="W289" s="8">
        <v>18.732418574999997</v>
      </c>
      <c r="X289" s="15">
        <v>161.16452867614288</v>
      </c>
      <c r="AA289">
        <v>2822.17</v>
      </c>
      <c r="AB289" t="s">
        <v>30</v>
      </c>
      <c r="AC289" t="s">
        <v>987</v>
      </c>
      <c r="AD289">
        <v>106.21</v>
      </c>
      <c r="AE289" t="s">
        <v>938</v>
      </c>
      <c r="AG289" t="s">
        <v>938</v>
      </c>
    </row>
    <row r="290" spans="1:33" x14ac:dyDescent="0.25">
      <c r="A290" s="13" t="s">
        <v>862</v>
      </c>
      <c r="B290" s="14" t="s">
        <v>789</v>
      </c>
      <c r="C290" s="14" t="s">
        <v>790</v>
      </c>
      <c r="D290" s="10">
        <v>1089.1600000000001</v>
      </c>
      <c r="E290" s="10">
        <v>26.702000000000002</v>
      </c>
      <c r="F290" s="10">
        <v>10</v>
      </c>
      <c r="G290" s="10">
        <v>20</v>
      </c>
      <c r="H290" s="8">
        <v>10.8916</v>
      </c>
      <c r="I290" s="8">
        <v>106.80800000000001</v>
      </c>
      <c r="J290" s="8">
        <v>1206.8596</v>
      </c>
      <c r="K290" s="8">
        <v>120.68596000000001</v>
      </c>
      <c r="L290" s="8">
        <v>6.0342979999999997</v>
      </c>
      <c r="M290" s="8">
        <v>200.03697869999999</v>
      </c>
      <c r="N290" s="8">
        <v>326.75723670000002</v>
      </c>
      <c r="O290" s="8">
        <v>54.458000000000006</v>
      </c>
      <c r="P290" s="8">
        <v>113.61701000000001</v>
      </c>
      <c r="Q290" s="8">
        <v>3.06765927</v>
      </c>
      <c r="R290" s="8">
        <v>1.9314891700000003</v>
      </c>
      <c r="S290" s="8">
        <v>26.320542857142854</v>
      </c>
      <c r="T290" s="8">
        <v>144.93670129714286</v>
      </c>
      <c r="U290" s="8">
        <v>1615.3119379971431</v>
      </c>
      <c r="V290" s="8">
        <v>323.06238759942863</v>
      </c>
      <c r="W290" s="8">
        <v>200.03697869999999</v>
      </c>
      <c r="X290" s="15">
        <v>1738.3373468965717</v>
      </c>
      <c r="AA290">
        <v>3233.54</v>
      </c>
      <c r="AB290" t="s">
        <v>30</v>
      </c>
      <c r="AC290" t="s">
        <v>988</v>
      </c>
      <c r="AD290">
        <v>1089.1600000000001</v>
      </c>
      <c r="AE290" t="s">
        <v>939</v>
      </c>
      <c r="AG290" t="s">
        <v>939</v>
      </c>
    </row>
    <row r="291" spans="1:33" x14ac:dyDescent="0.25">
      <c r="A291" s="16" t="s">
        <v>863</v>
      </c>
      <c r="B291" s="17" t="s">
        <v>52</v>
      </c>
      <c r="C291" s="17" t="s">
        <v>41</v>
      </c>
      <c r="D291" s="10">
        <v>0</v>
      </c>
      <c r="E291" s="18">
        <v>5.8310000000000004</v>
      </c>
      <c r="F291" s="18">
        <v>15</v>
      </c>
      <c r="G291" s="18">
        <v>20</v>
      </c>
      <c r="H291" s="8">
        <v>0</v>
      </c>
      <c r="I291" s="8">
        <v>23.324000000000002</v>
      </c>
      <c r="J291" s="8">
        <v>23.324000000000002</v>
      </c>
      <c r="K291" s="8">
        <v>3.4986000000000002</v>
      </c>
      <c r="L291" s="8">
        <v>0.11662000000000002</v>
      </c>
      <c r="M291" s="8">
        <v>4.040883</v>
      </c>
      <c r="N291" s="8">
        <v>7.6561029999999999</v>
      </c>
      <c r="O291" s="8">
        <v>0</v>
      </c>
      <c r="P291" s="8">
        <v>24.810905000000002</v>
      </c>
      <c r="Q291" s="8">
        <v>0.66989443500000001</v>
      </c>
      <c r="R291" s="8">
        <v>0.42178538500000007</v>
      </c>
      <c r="S291" s="8">
        <v>5.7477</v>
      </c>
      <c r="T291" s="8">
        <v>31.650284820000003</v>
      </c>
      <c r="U291" s="8">
        <v>39.306387820000005</v>
      </c>
      <c r="V291" s="8">
        <v>7.8612775640000017</v>
      </c>
      <c r="W291" s="8">
        <v>4.040883</v>
      </c>
      <c r="X291" s="15">
        <v>43.126782384000002</v>
      </c>
      <c r="AA291">
        <v>338.07</v>
      </c>
      <c r="AB291" t="s">
        <v>30</v>
      </c>
      <c r="AC291" t="s">
        <v>989</v>
      </c>
      <c r="AE291" t="s">
        <v>940</v>
      </c>
      <c r="AG291" t="s">
        <v>940</v>
      </c>
    </row>
    <row r="292" spans="1:33" x14ac:dyDescent="0.25">
      <c r="A292" s="13" t="s">
        <v>864</v>
      </c>
      <c r="B292" s="14" t="s">
        <v>865</v>
      </c>
      <c r="C292" s="19"/>
      <c r="D292" s="10">
        <v>0</v>
      </c>
      <c r="E292" s="10">
        <v>7.758</v>
      </c>
      <c r="F292" s="10"/>
      <c r="G292" s="10">
        <v>20</v>
      </c>
      <c r="H292" s="8">
        <v>0</v>
      </c>
      <c r="I292" s="8">
        <v>31.032</v>
      </c>
      <c r="J292" s="8">
        <v>31.032</v>
      </c>
      <c r="K292" s="8">
        <v>0</v>
      </c>
      <c r="L292" s="8">
        <v>0.15515999999999999</v>
      </c>
      <c r="M292" s="8">
        <v>4.6780739999999996</v>
      </c>
      <c r="N292" s="8">
        <v>4.833234</v>
      </c>
      <c r="O292" s="8">
        <v>0</v>
      </c>
      <c r="P292" s="8">
        <v>33.010289999999998</v>
      </c>
      <c r="Q292" s="8">
        <v>0.89127782999999994</v>
      </c>
      <c r="R292" s="8">
        <v>0.56117492999999996</v>
      </c>
      <c r="S292" s="8">
        <v>7.6471714285714274</v>
      </c>
      <c r="T292" s="8">
        <v>42.109914188571423</v>
      </c>
      <c r="U292" s="8">
        <v>46.943148188571421</v>
      </c>
      <c r="V292" s="8">
        <v>9.3886296377142848</v>
      </c>
      <c r="W292" s="8">
        <v>4.6780739999999996</v>
      </c>
      <c r="X292" s="15">
        <v>51.6537038262857</v>
      </c>
      <c r="AA292">
        <v>407.32</v>
      </c>
      <c r="AB292" t="s">
        <v>30</v>
      </c>
      <c r="AC292" t="s">
        <v>990</v>
      </c>
      <c r="AE292" t="s">
        <v>941</v>
      </c>
      <c r="AG292" t="s">
        <v>941</v>
      </c>
    </row>
    <row r="293" spans="1:33" x14ac:dyDescent="0.25">
      <c r="A293" s="16" t="s">
        <v>866</v>
      </c>
      <c r="B293" s="17" t="s">
        <v>867</v>
      </c>
      <c r="C293" s="17" t="s">
        <v>100</v>
      </c>
      <c r="D293" s="10">
        <v>261.60000000000002</v>
      </c>
      <c r="E293" s="18">
        <v>2.625</v>
      </c>
      <c r="F293" s="18">
        <v>10</v>
      </c>
      <c r="G293" s="18">
        <v>20</v>
      </c>
      <c r="H293" s="8">
        <v>2.6160000000000001</v>
      </c>
      <c r="I293" s="8">
        <v>10.5</v>
      </c>
      <c r="J293" s="8">
        <v>274.71600000000001</v>
      </c>
      <c r="K293" s="8">
        <v>27.471600000000002</v>
      </c>
      <c r="L293" s="8">
        <v>1.37358</v>
      </c>
      <c r="M293" s="8">
        <v>45.534177000000007</v>
      </c>
      <c r="N293" s="8">
        <v>74.379357000000013</v>
      </c>
      <c r="O293" s="8">
        <v>13.080000000000002</v>
      </c>
      <c r="P293" s="8">
        <v>11.169374999999999</v>
      </c>
      <c r="Q293" s="8">
        <v>0.30157312499999994</v>
      </c>
      <c r="R293" s="8">
        <v>0.18987937499999999</v>
      </c>
      <c r="S293" s="8">
        <v>2.5874999999999999</v>
      </c>
      <c r="T293" s="8">
        <v>14.248327499999998</v>
      </c>
      <c r="U293" s="8">
        <v>363.30768450000005</v>
      </c>
      <c r="V293" s="8">
        <v>72.661536900000016</v>
      </c>
      <c r="W293" s="8">
        <v>45.534177000000007</v>
      </c>
      <c r="X293" s="15">
        <v>390.43504440000004</v>
      </c>
      <c r="AA293">
        <v>3814.81</v>
      </c>
      <c r="AB293" t="s">
        <v>30</v>
      </c>
      <c r="AC293" t="s">
        <v>991</v>
      </c>
      <c r="AD293">
        <v>261.60000000000002</v>
      </c>
      <c r="AE293" t="s">
        <v>942</v>
      </c>
      <c r="AG293" t="s">
        <v>942</v>
      </c>
    </row>
    <row r="294" spans="1:33" x14ac:dyDescent="0.25">
      <c r="A294" s="13" t="s">
        <v>868</v>
      </c>
      <c r="B294" s="14" t="s">
        <v>869</v>
      </c>
      <c r="C294" s="19"/>
      <c r="D294" s="10">
        <v>0</v>
      </c>
      <c r="E294" s="10">
        <v>6.6829999999999998</v>
      </c>
      <c r="F294" s="10"/>
      <c r="G294" s="10">
        <v>20</v>
      </c>
      <c r="H294" s="8">
        <v>0</v>
      </c>
      <c r="I294" s="8">
        <v>26.731999999999999</v>
      </c>
      <c r="J294" s="8">
        <v>26.731999999999999</v>
      </c>
      <c r="K294" s="8">
        <v>0</v>
      </c>
      <c r="L294" s="8">
        <v>0.13366</v>
      </c>
      <c r="M294" s="8">
        <v>4.0298489999999996</v>
      </c>
      <c r="N294" s="8">
        <v>4.1635089999999995</v>
      </c>
      <c r="O294" s="8">
        <v>0</v>
      </c>
      <c r="P294" s="8">
        <v>28.436164999999999</v>
      </c>
      <c r="Q294" s="8">
        <v>0.76777645499999991</v>
      </c>
      <c r="R294" s="8">
        <v>0.483414805</v>
      </c>
      <c r="S294" s="8">
        <v>6.5875285714285701</v>
      </c>
      <c r="T294" s="8">
        <v>36.274884831428565</v>
      </c>
      <c r="U294" s="8">
        <v>40.438393831428563</v>
      </c>
      <c r="V294" s="8">
        <v>8.0876787662857126</v>
      </c>
      <c r="W294" s="8">
        <v>4.0298489999999996</v>
      </c>
      <c r="X294" s="15">
        <v>44.496223597714277</v>
      </c>
      <c r="AA294">
        <v>222.83</v>
      </c>
      <c r="AB294" t="s">
        <v>30</v>
      </c>
      <c r="AC294" t="s">
        <v>992</v>
      </c>
      <c r="AE294" t="s">
        <v>943</v>
      </c>
      <c r="AG294" t="s">
        <v>943</v>
      </c>
    </row>
    <row r="295" spans="1:33" x14ac:dyDescent="0.25">
      <c r="A295" s="16" t="s">
        <v>870</v>
      </c>
      <c r="B295" s="17" t="s">
        <v>871</v>
      </c>
      <c r="C295" s="17" t="s">
        <v>100</v>
      </c>
      <c r="D295" s="10">
        <v>286.23</v>
      </c>
      <c r="E295" s="18">
        <v>2.5</v>
      </c>
      <c r="F295" s="18">
        <v>10</v>
      </c>
      <c r="G295" s="18">
        <v>20</v>
      </c>
      <c r="H295" s="8">
        <v>2.8623000000000003</v>
      </c>
      <c r="I295" s="8">
        <v>10</v>
      </c>
      <c r="J295" s="8">
        <v>299.09230000000002</v>
      </c>
      <c r="K295" s="8">
        <v>29.909230000000004</v>
      </c>
      <c r="L295" s="8">
        <v>1.4954615000000002</v>
      </c>
      <c r="M295" s="8">
        <v>49.574548724999993</v>
      </c>
      <c r="N295" s="8">
        <v>80.979240224999998</v>
      </c>
      <c r="O295" s="8">
        <v>14.311500000000002</v>
      </c>
      <c r="P295" s="8">
        <v>10.637499999999999</v>
      </c>
      <c r="Q295" s="8">
        <v>0.28721249999999998</v>
      </c>
      <c r="R295" s="8">
        <v>0.18083750000000001</v>
      </c>
      <c r="S295" s="8">
        <v>2.464285714285714</v>
      </c>
      <c r="T295" s="8">
        <v>13.569835714285714</v>
      </c>
      <c r="U295" s="8">
        <v>395.09057593928577</v>
      </c>
      <c r="V295" s="8">
        <v>79.018115187857163</v>
      </c>
      <c r="W295" s="8">
        <v>49.574548724999993</v>
      </c>
      <c r="X295" s="15">
        <v>424.53414240214295</v>
      </c>
      <c r="AA295">
        <v>3857.71</v>
      </c>
      <c r="AB295" t="s">
        <v>30</v>
      </c>
      <c r="AC295" t="s">
        <v>993</v>
      </c>
      <c r="AD295">
        <v>286.23</v>
      </c>
      <c r="AE295" t="s">
        <v>944</v>
      </c>
      <c r="AG295" t="s">
        <v>944</v>
      </c>
    </row>
    <row r="296" spans="1:33" x14ac:dyDescent="0.25">
      <c r="A296" s="13" t="s">
        <v>872</v>
      </c>
      <c r="B296" s="14" t="s">
        <v>873</v>
      </c>
      <c r="C296" s="14" t="s">
        <v>45</v>
      </c>
      <c r="D296" s="10">
        <v>0</v>
      </c>
      <c r="E296" s="10">
        <v>13.161</v>
      </c>
      <c r="F296" s="10">
        <v>0</v>
      </c>
      <c r="G296" s="10">
        <v>20</v>
      </c>
      <c r="H296" s="8">
        <v>0</v>
      </c>
      <c r="I296" s="8">
        <v>52.643999999999998</v>
      </c>
      <c r="J296" s="8">
        <v>52.643999999999998</v>
      </c>
      <c r="K296" s="8">
        <v>0</v>
      </c>
      <c r="L296" s="8">
        <v>0.26322000000000001</v>
      </c>
      <c r="M296" s="8">
        <v>7.9360829999999991</v>
      </c>
      <c r="N296" s="8">
        <v>8.1993029999999987</v>
      </c>
      <c r="O296" s="8">
        <v>0</v>
      </c>
      <c r="P296" s="8">
        <v>56.000054999999996</v>
      </c>
      <c r="Q296" s="8">
        <v>1.5120014849999999</v>
      </c>
      <c r="R296" s="8">
        <v>0.95200093500000005</v>
      </c>
      <c r="S296" s="8">
        <v>12.972985714285713</v>
      </c>
      <c r="T296" s="8">
        <v>71.437043134285716</v>
      </c>
      <c r="U296" s="8">
        <v>79.636346134285716</v>
      </c>
      <c r="V296" s="8">
        <v>15.927269226857144</v>
      </c>
      <c r="W296" s="8">
        <v>7.9360829999999991</v>
      </c>
      <c r="X296" s="15">
        <v>87.627532361142869</v>
      </c>
      <c r="AA296">
        <v>671.91</v>
      </c>
      <c r="AB296" t="s">
        <v>30</v>
      </c>
      <c r="AC296" t="s">
        <v>994</v>
      </c>
      <c r="AE296" t="s">
        <v>945</v>
      </c>
      <c r="AG296" t="s">
        <v>945</v>
      </c>
    </row>
    <row r="297" spans="1:33" x14ac:dyDescent="0.25">
      <c r="A297" s="16" t="s">
        <v>874</v>
      </c>
      <c r="B297" s="17" t="s">
        <v>42</v>
      </c>
      <c r="C297" s="19"/>
      <c r="D297" s="10">
        <v>180.26</v>
      </c>
      <c r="E297" s="18">
        <v>3.79</v>
      </c>
      <c r="F297" s="18"/>
      <c r="G297" s="18">
        <v>20</v>
      </c>
      <c r="H297" s="8">
        <v>1.8026</v>
      </c>
      <c r="I297" s="8">
        <v>15.16</v>
      </c>
      <c r="J297" s="8">
        <v>197.2226</v>
      </c>
      <c r="K297" s="8">
        <v>0</v>
      </c>
      <c r="L297" s="8">
        <v>0.98611300000000002</v>
      </c>
      <c r="M297" s="8">
        <v>29.731306949999997</v>
      </c>
      <c r="N297" s="8">
        <v>30.717419949999996</v>
      </c>
      <c r="O297" s="8">
        <v>9.0129999999999999</v>
      </c>
      <c r="P297" s="8">
        <v>16.126450000000002</v>
      </c>
      <c r="Q297" s="8">
        <v>0.43541415000000006</v>
      </c>
      <c r="R297" s="8">
        <v>0.27414965000000008</v>
      </c>
      <c r="S297" s="8">
        <v>3.7358571428571423</v>
      </c>
      <c r="T297" s="8">
        <v>20.571870942857146</v>
      </c>
      <c r="U297" s="8">
        <v>240.56229089285713</v>
      </c>
      <c r="V297" s="8">
        <v>48.11245817857143</v>
      </c>
      <c r="W297" s="8">
        <v>29.731306949999997</v>
      </c>
      <c r="X297" s="15">
        <v>258.94344212142857</v>
      </c>
      <c r="AA297">
        <v>3882.15</v>
      </c>
      <c r="AB297" t="s">
        <v>30</v>
      </c>
      <c r="AC297" t="s">
        <v>995</v>
      </c>
      <c r="AD297">
        <v>180.26</v>
      </c>
      <c r="AE297" t="s">
        <v>946</v>
      </c>
      <c r="AG297" t="s">
        <v>946</v>
      </c>
    </row>
    <row r="298" spans="1:33" x14ac:dyDescent="0.25">
      <c r="A298" s="13" t="s">
        <v>61</v>
      </c>
      <c r="B298" s="14" t="s">
        <v>62</v>
      </c>
      <c r="C298" s="14" t="s">
        <v>48</v>
      </c>
      <c r="D298" s="10">
        <v>100.76</v>
      </c>
      <c r="E298" s="10">
        <v>0.186</v>
      </c>
      <c r="F298" s="10">
        <v>15</v>
      </c>
      <c r="G298" s="10">
        <v>20</v>
      </c>
      <c r="H298" s="8">
        <v>1.0076000000000001</v>
      </c>
      <c r="I298" s="8">
        <v>0.74399999999999999</v>
      </c>
      <c r="J298" s="8">
        <v>102.5116</v>
      </c>
      <c r="K298" s="8">
        <v>15.37674</v>
      </c>
      <c r="L298" s="8">
        <v>0.51255800000000007</v>
      </c>
      <c r="M298" s="8">
        <v>17.760134699999998</v>
      </c>
      <c r="N298" s="8">
        <v>33.649432699999998</v>
      </c>
      <c r="O298" s="8">
        <v>5.0380000000000003</v>
      </c>
      <c r="P298" s="8">
        <v>0.79142999999999997</v>
      </c>
      <c r="Q298" s="8">
        <v>2.136861E-2</v>
      </c>
      <c r="R298" s="8">
        <v>1.3454310000000001E-2</v>
      </c>
      <c r="S298" s="8">
        <v>0.18334285714285711</v>
      </c>
      <c r="T298" s="8">
        <v>1.009595777142857</v>
      </c>
      <c r="U298" s="8">
        <v>140.45702847714287</v>
      </c>
      <c r="V298" s="8">
        <v>28.091405695428577</v>
      </c>
      <c r="W298" s="8">
        <v>17.760134699999998</v>
      </c>
      <c r="X298" s="15">
        <v>150.78829947257142</v>
      </c>
      <c r="AA298">
        <v>4076.55</v>
      </c>
      <c r="AB298" t="s">
        <v>30</v>
      </c>
      <c r="AC298" t="s">
        <v>75</v>
      </c>
      <c r="AD298">
        <v>100.76</v>
      </c>
      <c r="AE298" t="s">
        <v>71</v>
      </c>
      <c r="AG298" t="s">
        <v>71</v>
      </c>
    </row>
    <row r="299" spans="1:33" x14ac:dyDescent="0.25">
      <c r="A299" s="16" t="s">
        <v>875</v>
      </c>
      <c r="B299" s="17" t="s">
        <v>876</v>
      </c>
      <c r="C299" s="17" t="s">
        <v>100</v>
      </c>
      <c r="D299" s="10">
        <v>0</v>
      </c>
      <c r="E299" s="18">
        <v>8.5000000000000006E-2</v>
      </c>
      <c r="F299" s="18">
        <v>10</v>
      </c>
      <c r="G299" s="18">
        <v>20</v>
      </c>
      <c r="H299" s="8">
        <v>0</v>
      </c>
      <c r="I299" s="8">
        <v>0.34</v>
      </c>
      <c r="J299" s="8">
        <v>0.34</v>
      </c>
      <c r="K299" s="8">
        <v>3.4000000000000002E-2</v>
      </c>
      <c r="L299" s="8">
        <v>1.7000000000000001E-3</v>
      </c>
      <c r="M299" s="8">
        <v>5.6354999999999995E-2</v>
      </c>
      <c r="N299" s="8">
        <v>9.2054999999999998E-2</v>
      </c>
      <c r="O299" s="8">
        <v>0</v>
      </c>
      <c r="P299" s="8">
        <v>0.36167500000000002</v>
      </c>
      <c r="Q299" s="8">
        <v>9.7652250000000006E-3</v>
      </c>
      <c r="R299" s="8">
        <v>6.1484750000000005E-3</v>
      </c>
      <c r="S299" s="8">
        <v>8.3785714285714283E-2</v>
      </c>
      <c r="T299" s="8">
        <v>0.4613744142857143</v>
      </c>
      <c r="U299" s="8">
        <v>0.55342941428571435</v>
      </c>
      <c r="V299" s="8">
        <v>0.11068588285714287</v>
      </c>
      <c r="W299" s="8">
        <v>5.6354999999999995E-2</v>
      </c>
      <c r="X299" s="15">
        <v>0.60776029714285718</v>
      </c>
      <c r="AA299">
        <v>4066.16</v>
      </c>
      <c r="AB299" t="s">
        <v>30</v>
      </c>
      <c r="AC299" t="s">
        <v>996</v>
      </c>
      <c r="AE299" t="s">
        <v>947</v>
      </c>
      <c r="AF299">
        <v>52.63</v>
      </c>
      <c r="AG299" t="s">
        <v>947</v>
      </c>
    </row>
    <row r="300" spans="1:33" x14ac:dyDescent="0.25">
      <c r="A300" s="13" t="s">
        <v>877</v>
      </c>
      <c r="B300" s="14" t="s">
        <v>878</v>
      </c>
      <c r="C300" s="14" t="s">
        <v>782</v>
      </c>
      <c r="D300" s="10">
        <v>0</v>
      </c>
      <c r="E300" s="10">
        <v>0.35</v>
      </c>
      <c r="F300" s="10">
        <v>0</v>
      </c>
      <c r="G300" s="10">
        <v>20</v>
      </c>
      <c r="H300" s="8">
        <v>0</v>
      </c>
      <c r="I300" s="8">
        <v>1.4</v>
      </c>
      <c r="J300" s="8">
        <v>1.4</v>
      </c>
      <c r="K300" s="8">
        <v>0</v>
      </c>
      <c r="L300" s="8">
        <v>6.9999999999999993E-3</v>
      </c>
      <c r="M300" s="8">
        <v>0.21104999999999996</v>
      </c>
      <c r="N300" s="8">
        <v>0.21804999999999997</v>
      </c>
      <c r="O300" s="8">
        <v>0</v>
      </c>
      <c r="P300" s="8">
        <v>1.4892499999999997</v>
      </c>
      <c r="Q300" s="8">
        <v>4.0209749999999995E-2</v>
      </c>
      <c r="R300" s="8">
        <v>2.5317249999999996E-2</v>
      </c>
      <c r="S300" s="8">
        <v>0.34499999999999997</v>
      </c>
      <c r="T300" s="8">
        <v>1.8997769999999998</v>
      </c>
      <c r="U300" s="8">
        <v>2.1178269999999997</v>
      </c>
      <c r="V300" s="8">
        <v>0.42356539999999998</v>
      </c>
      <c r="W300" s="8">
        <v>0.21104999999999996</v>
      </c>
      <c r="X300" s="15">
        <v>2.3303423999999993</v>
      </c>
      <c r="AA300">
        <v>4107.18</v>
      </c>
      <c r="AB300" t="s">
        <v>30</v>
      </c>
      <c r="AC300" t="s">
        <v>997</v>
      </c>
      <c r="AE300" t="s">
        <v>948</v>
      </c>
      <c r="AF300">
        <v>139.72</v>
      </c>
      <c r="AG300" t="s">
        <v>948</v>
      </c>
    </row>
    <row r="301" spans="1:33" x14ac:dyDescent="0.25">
      <c r="A301" s="16" t="s">
        <v>879</v>
      </c>
      <c r="B301" s="17" t="s">
        <v>880</v>
      </c>
      <c r="C301" s="17" t="s">
        <v>782</v>
      </c>
      <c r="D301" s="10">
        <v>0</v>
      </c>
      <c r="E301" s="18">
        <v>0.35</v>
      </c>
      <c r="F301" s="18">
        <v>0</v>
      </c>
      <c r="G301" s="18">
        <v>20</v>
      </c>
      <c r="H301" s="8">
        <v>0</v>
      </c>
      <c r="I301" s="8">
        <v>1.4</v>
      </c>
      <c r="J301" s="8">
        <v>1.4</v>
      </c>
      <c r="K301" s="8">
        <v>0</v>
      </c>
      <c r="L301" s="8">
        <v>6.9999999999999993E-3</v>
      </c>
      <c r="M301" s="8">
        <v>0.21104999999999996</v>
      </c>
      <c r="N301" s="8">
        <v>0.21804999999999997</v>
      </c>
      <c r="O301" s="8">
        <v>0</v>
      </c>
      <c r="P301" s="8">
        <v>1.4892499999999997</v>
      </c>
      <c r="Q301" s="8">
        <v>4.0209749999999995E-2</v>
      </c>
      <c r="R301" s="8">
        <v>2.5317249999999996E-2</v>
      </c>
      <c r="S301" s="8">
        <v>0.34499999999999997</v>
      </c>
      <c r="T301" s="8">
        <v>1.8997769999999998</v>
      </c>
      <c r="U301" s="8">
        <v>2.1178269999999997</v>
      </c>
      <c r="V301" s="8">
        <v>0.42356539999999998</v>
      </c>
      <c r="W301" s="8">
        <v>0.21104999999999996</v>
      </c>
      <c r="X301" s="15">
        <v>2.3303423999999993</v>
      </c>
      <c r="AA301">
        <v>4346.2299999999996</v>
      </c>
      <c r="AB301" t="s">
        <v>30</v>
      </c>
      <c r="AC301" t="s">
        <v>998</v>
      </c>
      <c r="AE301" t="s">
        <v>949</v>
      </c>
      <c r="AF301">
        <v>137.52000000000001</v>
      </c>
      <c r="AG301" t="s">
        <v>949</v>
      </c>
    </row>
    <row r="302" spans="1:33" x14ac:dyDescent="0.25">
      <c r="A302" s="13" t="s">
        <v>881</v>
      </c>
      <c r="B302" s="14" t="s">
        <v>882</v>
      </c>
      <c r="C302" s="14" t="s">
        <v>41</v>
      </c>
      <c r="D302" s="10">
        <v>120</v>
      </c>
      <c r="E302" s="10">
        <v>3.15</v>
      </c>
      <c r="F302" s="10">
        <v>15</v>
      </c>
      <c r="G302" s="10">
        <v>20</v>
      </c>
      <c r="H302" s="8">
        <v>1.2</v>
      </c>
      <c r="I302" s="8">
        <v>12.6</v>
      </c>
      <c r="J302" s="8">
        <v>133.80000000000001</v>
      </c>
      <c r="K302" s="8">
        <v>20.07</v>
      </c>
      <c r="L302" s="8">
        <v>0.66900000000000004</v>
      </c>
      <c r="M302" s="8">
        <v>23.180850000000003</v>
      </c>
      <c r="N302" s="8">
        <v>43.919850000000004</v>
      </c>
      <c r="O302" s="8">
        <v>6</v>
      </c>
      <c r="P302" s="8">
        <v>13.403249999999998</v>
      </c>
      <c r="Q302" s="8">
        <v>0.36188774999999995</v>
      </c>
      <c r="R302" s="8">
        <v>0.22785524999999998</v>
      </c>
      <c r="S302" s="8">
        <v>3.1049999999999995</v>
      </c>
      <c r="T302" s="8">
        <v>17.097992999999995</v>
      </c>
      <c r="U302" s="8">
        <v>187.017843</v>
      </c>
      <c r="V302" s="8">
        <v>37.4035686</v>
      </c>
      <c r="W302" s="8">
        <v>23.180850000000003</v>
      </c>
      <c r="X302" s="15">
        <v>201.24056160000001</v>
      </c>
      <c r="AA302">
        <v>4425.87</v>
      </c>
      <c r="AB302" t="s">
        <v>30</v>
      </c>
      <c r="AC302" t="s">
        <v>999</v>
      </c>
      <c r="AD302">
        <v>120</v>
      </c>
      <c r="AE302" t="s">
        <v>950</v>
      </c>
      <c r="AG302" t="s">
        <v>950</v>
      </c>
    </row>
    <row r="303" spans="1:33" x14ac:dyDescent="0.25">
      <c r="A303" s="16" t="s">
        <v>883</v>
      </c>
      <c r="B303" s="17" t="s">
        <v>884</v>
      </c>
      <c r="C303" s="17" t="s">
        <v>274</v>
      </c>
      <c r="D303" s="10">
        <v>111.56</v>
      </c>
      <c r="E303" s="18">
        <v>1.67</v>
      </c>
      <c r="F303" s="18">
        <v>0</v>
      </c>
      <c r="G303" s="18">
        <v>20</v>
      </c>
      <c r="H303" s="8">
        <v>1.1156000000000001</v>
      </c>
      <c r="I303" s="8">
        <v>6.68</v>
      </c>
      <c r="J303" s="8">
        <v>119.35560000000001</v>
      </c>
      <c r="K303" s="8">
        <v>0</v>
      </c>
      <c r="L303" s="8">
        <v>0.59677800000000003</v>
      </c>
      <c r="M303" s="8">
        <v>17.992856700000001</v>
      </c>
      <c r="N303" s="8">
        <v>18.589634700000001</v>
      </c>
      <c r="O303" s="8">
        <v>5.5780000000000003</v>
      </c>
      <c r="P303" s="8">
        <v>7.1058499999999993</v>
      </c>
      <c r="Q303" s="8">
        <v>0.19185794999999997</v>
      </c>
      <c r="R303" s="8">
        <v>0.12079945</v>
      </c>
      <c r="S303" s="8">
        <v>1.6461428571428569</v>
      </c>
      <c r="T303" s="8">
        <v>9.0646502571428567</v>
      </c>
      <c r="U303" s="8">
        <v>144.79228495714287</v>
      </c>
      <c r="V303" s="8">
        <v>28.958456991428577</v>
      </c>
      <c r="W303" s="8">
        <v>17.992856700000001</v>
      </c>
      <c r="X303" s="15">
        <v>155.75788524857143</v>
      </c>
      <c r="AA303">
        <v>4671.42</v>
      </c>
      <c r="AB303" t="s">
        <v>30</v>
      </c>
      <c r="AC303" t="s">
        <v>1000</v>
      </c>
      <c r="AD303">
        <v>111.56</v>
      </c>
      <c r="AE303" t="s">
        <v>951</v>
      </c>
      <c r="AG303" t="s">
        <v>951</v>
      </c>
    </row>
    <row r="304" spans="1:33" x14ac:dyDescent="0.25">
      <c r="A304" s="13" t="s">
        <v>885</v>
      </c>
      <c r="B304" s="14" t="s">
        <v>95</v>
      </c>
      <c r="C304" s="14" t="s">
        <v>41</v>
      </c>
      <c r="D304" s="10">
        <v>1039.9000000000001</v>
      </c>
      <c r="E304" s="10">
        <v>17.5</v>
      </c>
      <c r="F304" s="10">
        <v>15</v>
      </c>
      <c r="G304" s="10">
        <v>20</v>
      </c>
      <c r="H304" s="8">
        <v>10.399000000000001</v>
      </c>
      <c r="I304" s="8">
        <v>70</v>
      </c>
      <c r="J304" s="8">
        <v>1120.299</v>
      </c>
      <c r="K304" s="8">
        <v>168.04485</v>
      </c>
      <c r="L304" s="8">
        <v>5.6014949999999999</v>
      </c>
      <c r="M304" s="8">
        <v>194.09180175</v>
      </c>
      <c r="N304" s="8">
        <v>367.73814675</v>
      </c>
      <c r="O304" s="8">
        <v>51.995000000000005</v>
      </c>
      <c r="P304" s="8">
        <v>74.462499999999991</v>
      </c>
      <c r="Q304" s="8">
        <v>2.0104874999999995</v>
      </c>
      <c r="R304" s="8">
        <v>1.2658624999999999</v>
      </c>
      <c r="S304" s="8">
        <v>17.25</v>
      </c>
      <c r="T304" s="8">
        <v>94.988849999999985</v>
      </c>
      <c r="U304" s="8">
        <v>1554.6219967499999</v>
      </c>
      <c r="V304" s="8">
        <v>310.92439934999999</v>
      </c>
      <c r="W304" s="8">
        <v>194.09180175</v>
      </c>
      <c r="X304" s="15">
        <v>1671.4545943499998</v>
      </c>
      <c r="AA304">
        <v>445.94</v>
      </c>
      <c r="AB304" t="s">
        <v>30</v>
      </c>
      <c r="AC304" t="s">
        <v>1001</v>
      </c>
      <c r="AD304">
        <v>1039.9000000000001</v>
      </c>
      <c r="AE304" t="s">
        <v>952</v>
      </c>
      <c r="AG304" t="s">
        <v>952</v>
      </c>
    </row>
    <row r="305" spans="1:33" x14ac:dyDescent="0.25">
      <c r="A305" s="16" t="s">
        <v>886</v>
      </c>
      <c r="B305" s="17" t="s">
        <v>273</v>
      </c>
      <c r="C305" s="17" t="s">
        <v>274</v>
      </c>
      <c r="D305" s="10">
        <v>657.95</v>
      </c>
      <c r="E305" s="18">
        <v>6.87</v>
      </c>
      <c r="F305" s="18">
        <v>0</v>
      </c>
      <c r="G305" s="18">
        <v>20</v>
      </c>
      <c r="H305" s="8">
        <v>6.5795000000000003</v>
      </c>
      <c r="I305" s="8">
        <v>27.48</v>
      </c>
      <c r="J305" s="8">
        <v>692.00950000000012</v>
      </c>
      <c r="K305" s="8">
        <v>0</v>
      </c>
      <c r="L305" s="8">
        <v>3.4600475000000008</v>
      </c>
      <c r="M305" s="8">
        <v>104.32043212500001</v>
      </c>
      <c r="N305" s="8">
        <v>107.78047962500001</v>
      </c>
      <c r="O305" s="8">
        <v>32.897500000000001</v>
      </c>
      <c r="P305" s="8">
        <v>29.231849999999998</v>
      </c>
      <c r="Q305" s="8">
        <v>0.78925994999999993</v>
      </c>
      <c r="R305" s="8">
        <v>0.49694145000000001</v>
      </c>
      <c r="S305" s="8">
        <v>6.7718571428571419</v>
      </c>
      <c r="T305" s="8">
        <v>37.289908542857141</v>
      </c>
      <c r="U305" s="8">
        <v>835.9178881678572</v>
      </c>
      <c r="V305" s="8">
        <v>167.18357763357145</v>
      </c>
      <c r="W305" s="8">
        <v>104.32043212500001</v>
      </c>
      <c r="X305" s="15">
        <v>898.78103367642859</v>
      </c>
      <c r="AA305">
        <v>482.51</v>
      </c>
      <c r="AB305" t="s">
        <v>30</v>
      </c>
      <c r="AC305" t="s">
        <v>1002</v>
      </c>
      <c r="AD305">
        <v>657.95</v>
      </c>
      <c r="AE305" t="s">
        <v>953</v>
      </c>
      <c r="AG305" t="s">
        <v>953</v>
      </c>
    </row>
    <row r="306" spans="1:33" x14ac:dyDescent="0.25">
      <c r="A306" s="13" t="s">
        <v>887</v>
      </c>
      <c r="B306" s="14" t="s">
        <v>888</v>
      </c>
      <c r="C306" s="14" t="s">
        <v>48</v>
      </c>
      <c r="D306" s="10">
        <v>135.22</v>
      </c>
      <c r="E306" s="10">
        <v>2</v>
      </c>
      <c r="F306" s="10">
        <v>15</v>
      </c>
      <c r="G306" s="10">
        <v>20</v>
      </c>
      <c r="H306" s="8">
        <v>1.3522000000000001</v>
      </c>
      <c r="I306" s="8">
        <v>8</v>
      </c>
      <c r="J306" s="8">
        <v>144.57220000000001</v>
      </c>
      <c r="K306" s="8">
        <v>21.685829999999999</v>
      </c>
      <c r="L306" s="8">
        <v>0.72286100000000009</v>
      </c>
      <c r="M306" s="8">
        <v>25.047133650000003</v>
      </c>
      <c r="N306" s="8">
        <v>47.455824650000004</v>
      </c>
      <c r="O306" s="8">
        <v>6.7610000000000001</v>
      </c>
      <c r="P306" s="8">
        <v>8.51</v>
      </c>
      <c r="Q306" s="8">
        <v>0.22977</v>
      </c>
      <c r="R306" s="8">
        <v>0.14466999999999999</v>
      </c>
      <c r="S306" s="8">
        <v>1.9714285714285711</v>
      </c>
      <c r="T306" s="8">
        <v>10.855868571428571</v>
      </c>
      <c r="U306" s="8">
        <v>200.29269322142858</v>
      </c>
      <c r="V306" s="8">
        <v>40.058538644285719</v>
      </c>
      <c r="W306" s="8">
        <v>25.047133650000003</v>
      </c>
      <c r="X306" s="15">
        <v>215.30409821571428</v>
      </c>
      <c r="AA306">
        <v>4662.07</v>
      </c>
      <c r="AB306" t="s">
        <v>30</v>
      </c>
      <c r="AC306" t="s">
        <v>1003</v>
      </c>
      <c r="AD306">
        <v>135.22</v>
      </c>
      <c r="AE306" t="s">
        <v>954</v>
      </c>
      <c r="AF306">
        <v>166.44</v>
      </c>
      <c r="AG306" t="s">
        <v>954</v>
      </c>
    </row>
    <row r="307" spans="1:33" x14ac:dyDescent="0.25">
      <c r="A307" s="16" t="s">
        <v>889</v>
      </c>
      <c r="B307" s="17" t="s">
        <v>890</v>
      </c>
      <c r="C307" s="19"/>
      <c r="D307" s="10">
        <v>378.62</v>
      </c>
      <c r="E307" s="18">
        <v>4.2</v>
      </c>
      <c r="F307" s="18"/>
      <c r="G307" s="18">
        <v>20</v>
      </c>
      <c r="H307" s="8">
        <v>3.7862</v>
      </c>
      <c r="I307" s="8">
        <v>16.8</v>
      </c>
      <c r="J307" s="8">
        <v>399.20620000000002</v>
      </c>
      <c r="K307" s="8">
        <v>0</v>
      </c>
      <c r="L307" s="8">
        <v>1.9960310000000001</v>
      </c>
      <c r="M307" s="8">
        <v>60.180334650000006</v>
      </c>
      <c r="N307" s="8">
        <v>62.176365650000008</v>
      </c>
      <c r="O307" s="8">
        <v>18.931000000000001</v>
      </c>
      <c r="P307" s="8">
        <v>17.870999999999999</v>
      </c>
      <c r="Q307" s="8">
        <v>0.48251699999999997</v>
      </c>
      <c r="R307" s="8">
        <v>0.30380699999999999</v>
      </c>
      <c r="S307" s="8">
        <v>4.1399999999999997</v>
      </c>
      <c r="T307" s="8">
        <v>22.797324</v>
      </c>
      <c r="U307" s="8">
        <v>482.52468965000003</v>
      </c>
      <c r="V307" s="8">
        <v>96.504937930000011</v>
      </c>
      <c r="W307" s="8">
        <v>60.180334650000006</v>
      </c>
      <c r="X307" s="15">
        <v>518.84929293000005</v>
      </c>
      <c r="AA307">
        <v>4944.95</v>
      </c>
      <c r="AB307" t="s">
        <v>30</v>
      </c>
      <c r="AC307" t="s">
        <v>1004</v>
      </c>
      <c r="AD307">
        <v>378.62</v>
      </c>
      <c r="AE307" t="s">
        <v>955</v>
      </c>
      <c r="AG307" t="s">
        <v>955</v>
      </c>
    </row>
    <row r="308" spans="1:33" x14ac:dyDescent="0.25">
      <c r="A308" s="13" t="s">
        <v>891</v>
      </c>
      <c r="B308" s="14" t="s">
        <v>892</v>
      </c>
      <c r="C308" s="14" t="s">
        <v>782</v>
      </c>
      <c r="D308" s="10">
        <v>0</v>
      </c>
      <c r="E308" s="10">
        <v>0.13</v>
      </c>
      <c r="F308" s="10">
        <v>0</v>
      </c>
      <c r="G308" s="10">
        <v>20</v>
      </c>
      <c r="H308" s="8">
        <v>0</v>
      </c>
      <c r="I308" s="8">
        <v>0.52</v>
      </c>
      <c r="J308" s="8">
        <v>0.52</v>
      </c>
      <c r="K308" s="8">
        <v>0</v>
      </c>
      <c r="L308" s="8">
        <v>2.6000000000000003E-3</v>
      </c>
      <c r="M308" s="8">
        <v>7.8390000000000001E-2</v>
      </c>
      <c r="N308" s="8">
        <v>8.0990000000000006E-2</v>
      </c>
      <c r="O308" s="8">
        <v>0</v>
      </c>
      <c r="P308" s="8">
        <v>0.55315000000000003</v>
      </c>
      <c r="Q308" s="8">
        <v>1.493505E-2</v>
      </c>
      <c r="R308" s="8">
        <v>9.4035500000000018E-3</v>
      </c>
      <c r="S308" s="8">
        <v>0.12814285714285714</v>
      </c>
      <c r="T308" s="8">
        <v>0.70563145714285713</v>
      </c>
      <c r="U308" s="8">
        <v>0.78662145714285714</v>
      </c>
      <c r="V308" s="8">
        <v>0.15732429142857143</v>
      </c>
      <c r="W308" s="8">
        <v>7.8390000000000001E-2</v>
      </c>
      <c r="X308" s="15">
        <v>0.86555574857142858</v>
      </c>
      <c r="AA308">
        <v>4848.8500000000004</v>
      </c>
      <c r="AB308" t="s">
        <v>30</v>
      </c>
      <c r="AC308" t="s">
        <v>1005</v>
      </c>
      <c r="AE308" t="s">
        <v>956</v>
      </c>
      <c r="AG308" t="s">
        <v>956</v>
      </c>
    </row>
    <row r="309" spans="1:33" x14ac:dyDescent="0.25">
      <c r="A309" s="16" t="s">
        <v>893</v>
      </c>
      <c r="B309" s="17" t="s">
        <v>894</v>
      </c>
      <c r="C309" s="19"/>
      <c r="D309" s="10">
        <v>398.91</v>
      </c>
      <c r="E309" s="18">
        <v>4.7</v>
      </c>
      <c r="F309" s="18"/>
      <c r="G309" s="18">
        <v>20</v>
      </c>
      <c r="H309" s="8">
        <v>3.9891000000000005</v>
      </c>
      <c r="I309" s="8">
        <v>18.8</v>
      </c>
      <c r="J309" s="8">
        <v>421.69910000000004</v>
      </c>
      <c r="K309" s="8">
        <v>0</v>
      </c>
      <c r="L309" s="8">
        <v>2.1084955000000001</v>
      </c>
      <c r="M309" s="8">
        <v>63.571139325000004</v>
      </c>
      <c r="N309" s="8">
        <v>65.679634825000008</v>
      </c>
      <c r="O309" s="8">
        <v>19.945500000000003</v>
      </c>
      <c r="P309" s="8">
        <v>19.9985</v>
      </c>
      <c r="Q309" s="8">
        <v>0.53995950000000004</v>
      </c>
      <c r="R309" s="8">
        <v>0.33997450000000001</v>
      </c>
      <c r="S309" s="8">
        <v>4.6328571428571426</v>
      </c>
      <c r="T309" s="8">
        <v>25.511291142857139</v>
      </c>
      <c r="U309" s="8">
        <v>510.04642596785715</v>
      </c>
      <c r="V309" s="8">
        <v>102.00928519357143</v>
      </c>
      <c r="W309" s="8">
        <v>63.571139325000004</v>
      </c>
      <c r="X309" s="15">
        <v>548.48457183642859</v>
      </c>
      <c r="AA309">
        <v>5052.87</v>
      </c>
      <c r="AB309" t="s">
        <v>30</v>
      </c>
      <c r="AC309" t="s">
        <v>1006</v>
      </c>
      <c r="AD309">
        <v>398.91</v>
      </c>
      <c r="AE309" t="s">
        <v>957</v>
      </c>
      <c r="AG309" t="s">
        <v>957</v>
      </c>
    </row>
    <row r="310" spans="1:33" x14ac:dyDescent="0.25">
      <c r="A310" s="13" t="s">
        <v>895</v>
      </c>
      <c r="B310" s="14" t="s">
        <v>896</v>
      </c>
      <c r="C310" s="14" t="s">
        <v>45</v>
      </c>
      <c r="D310" s="10">
        <v>649.67999999999995</v>
      </c>
      <c r="E310" s="10">
        <v>2.2610000000000001</v>
      </c>
      <c r="F310" s="10">
        <v>0</v>
      </c>
      <c r="G310" s="10">
        <v>20</v>
      </c>
      <c r="H310" s="8">
        <v>6.4967999999999995</v>
      </c>
      <c r="I310" s="8">
        <v>9.0440000000000005</v>
      </c>
      <c r="J310" s="8">
        <v>665.22079999999994</v>
      </c>
      <c r="K310" s="8">
        <v>0</v>
      </c>
      <c r="L310" s="8">
        <v>3.3261039999999999</v>
      </c>
      <c r="M310" s="8">
        <v>100.28203559999999</v>
      </c>
      <c r="N310" s="8">
        <v>103.60813959999999</v>
      </c>
      <c r="O310" s="8">
        <v>32.484000000000002</v>
      </c>
      <c r="P310" s="8">
        <v>9.6205549999999995</v>
      </c>
      <c r="Q310" s="8">
        <v>0.25975498499999999</v>
      </c>
      <c r="R310" s="8">
        <v>0.16354943499999999</v>
      </c>
      <c r="S310" s="8">
        <v>2.2286999999999999</v>
      </c>
      <c r="T310" s="8">
        <v>12.27255942</v>
      </c>
      <c r="U310" s="8">
        <v>798.04469901999994</v>
      </c>
      <c r="V310" s="8">
        <v>159.60893980399999</v>
      </c>
      <c r="W310" s="8">
        <v>100.28203559999999</v>
      </c>
      <c r="X310" s="15">
        <v>857.37160322399995</v>
      </c>
      <c r="AA310">
        <v>5236.09</v>
      </c>
      <c r="AB310" t="s">
        <v>30</v>
      </c>
      <c r="AC310" t="s">
        <v>1007</v>
      </c>
      <c r="AD310">
        <v>649.67999999999995</v>
      </c>
      <c r="AE310" t="s">
        <v>958</v>
      </c>
      <c r="AG310" t="s">
        <v>958</v>
      </c>
    </row>
    <row r="311" spans="1:33" x14ac:dyDescent="0.25">
      <c r="A311" s="16" t="s">
        <v>897</v>
      </c>
      <c r="B311" s="17" t="s">
        <v>898</v>
      </c>
      <c r="C311" s="19"/>
      <c r="D311" s="10">
        <v>581.9</v>
      </c>
      <c r="E311" s="18">
        <v>6.3</v>
      </c>
      <c r="F311" s="18"/>
      <c r="G311" s="18">
        <v>20</v>
      </c>
      <c r="H311" s="8">
        <v>5.819</v>
      </c>
      <c r="I311" s="8">
        <v>25.2</v>
      </c>
      <c r="J311" s="8">
        <v>612.91899999999998</v>
      </c>
      <c r="K311" s="8">
        <v>0</v>
      </c>
      <c r="L311" s="8">
        <v>3.0645950000000002</v>
      </c>
      <c r="M311" s="8">
        <v>92.397539250000008</v>
      </c>
      <c r="N311" s="8">
        <v>95.462134250000005</v>
      </c>
      <c r="O311" s="8">
        <v>29.094999999999999</v>
      </c>
      <c r="P311" s="8">
        <v>26.806499999999996</v>
      </c>
      <c r="Q311" s="8">
        <v>0.72377549999999991</v>
      </c>
      <c r="R311" s="8">
        <v>0.45571049999999996</v>
      </c>
      <c r="S311" s="8">
        <v>6.2099999999999991</v>
      </c>
      <c r="T311" s="8">
        <v>34.195985999999991</v>
      </c>
      <c r="U311" s="8">
        <v>740.65312024999992</v>
      </c>
      <c r="V311" s="8">
        <v>148.13062404999999</v>
      </c>
      <c r="W311" s="8">
        <v>92.397539250000008</v>
      </c>
      <c r="X311" s="15">
        <v>796.38620504999983</v>
      </c>
      <c r="AA311">
        <v>5223.43</v>
      </c>
      <c r="AB311" t="s">
        <v>30</v>
      </c>
      <c r="AC311" t="s">
        <v>1008</v>
      </c>
      <c r="AD311">
        <v>581.9</v>
      </c>
      <c r="AE311" t="s">
        <v>959</v>
      </c>
      <c r="AG311" t="s">
        <v>959</v>
      </c>
    </row>
    <row r="312" spans="1:33" x14ac:dyDescent="0.25">
      <c r="A312" s="13" t="s">
        <v>899</v>
      </c>
      <c r="B312" s="14" t="s">
        <v>900</v>
      </c>
      <c r="C312" s="19"/>
      <c r="D312" s="10">
        <v>179.73</v>
      </c>
      <c r="E312" s="10">
        <v>0.92</v>
      </c>
      <c r="F312" s="10"/>
      <c r="G312" s="10">
        <v>20</v>
      </c>
      <c r="H312" s="8">
        <v>1.7972999999999999</v>
      </c>
      <c r="I312" s="8">
        <v>3.68</v>
      </c>
      <c r="J312" s="8">
        <v>185.2073</v>
      </c>
      <c r="K312" s="8">
        <v>0</v>
      </c>
      <c r="L312" s="8">
        <v>0.92603650000000004</v>
      </c>
      <c r="M312" s="8">
        <v>27.920000475000002</v>
      </c>
      <c r="N312" s="8">
        <v>28.846036975000001</v>
      </c>
      <c r="O312" s="8">
        <v>8.9864999999999995</v>
      </c>
      <c r="P312" s="8">
        <v>3.9146000000000001</v>
      </c>
      <c r="Q312" s="8">
        <v>0.1056942</v>
      </c>
      <c r="R312" s="8">
        <v>6.6548200000000002E-2</v>
      </c>
      <c r="S312" s="8">
        <v>0.90685714285714281</v>
      </c>
      <c r="T312" s="8">
        <v>4.9936995428571427</v>
      </c>
      <c r="U312" s="8">
        <v>222.55623651785714</v>
      </c>
      <c r="V312" s="8">
        <v>44.51124730357143</v>
      </c>
      <c r="W312" s="8">
        <v>27.920000475000002</v>
      </c>
      <c r="X312" s="15">
        <v>239.1474833464286</v>
      </c>
      <c r="AA312">
        <v>5289.18</v>
      </c>
      <c r="AB312" t="s">
        <v>30</v>
      </c>
      <c r="AC312" t="s">
        <v>1009</v>
      </c>
      <c r="AD312">
        <v>179.73</v>
      </c>
      <c r="AE312" t="s">
        <v>960</v>
      </c>
      <c r="AG312" t="s">
        <v>960</v>
      </c>
    </row>
    <row r="313" spans="1:33" x14ac:dyDescent="0.25">
      <c r="A313" s="16" t="s">
        <v>901</v>
      </c>
      <c r="B313" s="17" t="s">
        <v>165</v>
      </c>
      <c r="C313" s="17" t="s">
        <v>48</v>
      </c>
      <c r="D313" s="10">
        <v>158.78</v>
      </c>
      <c r="E313" s="18">
        <v>0.68500000000000005</v>
      </c>
      <c r="F313" s="18">
        <v>15</v>
      </c>
      <c r="G313" s="18">
        <v>20</v>
      </c>
      <c r="H313" s="8">
        <v>1.5878000000000001</v>
      </c>
      <c r="I313" s="8">
        <v>2.74</v>
      </c>
      <c r="J313" s="8">
        <v>163.1078</v>
      </c>
      <c r="K313" s="8">
        <v>24.466169999999998</v>
      </c>
      <c r="L313" s="8">
        <v>0.81553900000000001</v>
      </c>
      <c r="M313" s="8">
        <v>28.258426350000001</v>
      </c>
      <c r="N313" s="8">
        <v>53.54013535</v>
      </c>
      <c r="O313" s="8">
        <v>7.9390000000000001</v>
      </c>
      <c r="P313" s="8">
        <v>2.9146750000000003</v>
      </c>
      <c r="Q313" s="8">
        <v>7.8696225000000009E-2</v>
      </c>
      <c r="R313" s="8">
        <v>4.9549475000000009E-2</v>
      </c>
      <c r="S313" s="8">
        <v>0.67521428571428577</v>
      </c>
      <c r="T313" s="8">
        <v>3.7181349857142862</v>
      </c>
      <c r="U313" s="8">
        <v>223.97727033571431</v>
      </c>
      <c r="V313" s="8">
        <v>44.795454067142863</v>
      </c>
      <c r="W313" s="8">
        <v>28.258426350000001</v>
      </c>
      <c r="X313" s="15">
        <v>240.51429805285719</v>
      </c>
      <c r="AA313">
        <v>5315.37</v>
      </c>
      <c r="AB313" t="s">
        <v>30</v>
      </c>
      <c r="AC313" t="s">
        <v>1010</v>
      </c>
      <c r="AD313">
        <v>158.78</v>
      </c>
      <c r="AE313" t="s">
        <v>961</v>
      </c>
      <c r="AF313">
        <v>309.89999999999998</v>
      </c>
      <c r="AG313" t="s">
        <v>961</v>
      </c>
    </row>
    <row r="314" spans="1:33" x14ac:dyDescent="0.25">
      <c r="A314" s="13" t="s">
        <v>902</v>
      </c>
      <c r="B314" s="14" t="s">
        <v>903</v>
      </c>
      <c r="C314" s="14" t="s">
        <v>48</v>
      </c>
      <c r="D314" s="10">
        <v>43.38</v>
      </c>
      <c r="E314" s="10">
        <v>0.2</v>
      </c>
      <c r="F314" s="10">
        <v>15</v>
      </c>
      <c r="G314" s="10">
        <v>20</v>
      </c>
      <c r="H314" s="8">
        <v>0.43380000000000002</v>
      </c>
      <c r="I314" s="8">
        <v>0.8</v>
      </c>
      <c r="J314" s="8">
        <v>44.613799999999998</v>
      </c>
      <c r="K314" s="8">
        <v>6.6920699999999993</v>
      </c>
      <c r="L314" s="8">
        <v>0.22306899999999999</v>
      </c>
      <c r="M314" s="8">
        <v>7.7293408499999998</v>
      </c>
      <c r="N314" s="8">
        <v>14.64447985</v>
      </c>
      <c r="O314" s="8">
        <v>2.169</v>
      </c>
      <c r="P314" s="8">
        <v>0.85100000000000009</v>
      </c>
      <c r="Q314" s="8">
        <v>2.2977000000000001E-2</v>
      </c>
      <c r="R314" s="8">
        <v>1.4467000000000002E-2</v>
      </c>
      <c r="S314" s="8">
        <v>0.19714285714285712</v>
      </c>
      <c r="T314" s="8">
        <v>1.0855868571428573</v>
      </c>
      <c r="U314" s="8">
        <v>61.27906670714286</v>
      </c>
      <c r="V314" s="8">
        <v>12.255813341428572</v>
      </c>
      <c r="W314" s="8">
        <v>7.7293408499999998</v>
      </c>
      <c r="X314" s="15">
        <v>65.805539198571438</v>
      </c>
      <c r="AA314">
        <v>5355.56</v>
      </c>
      <c r="AB314" t="s">
        <v>30</v>
      </c>
      <c r="AC314" t="s">
        <v>1011</v>
      </c>
      <c r="AD314">
        <v>43.38</v>
      </c>
      <c r="AE314" t="s">
        <v>962</v>
      </c>
      <c r="AG314" t="s">
        <v>962</v>
      </c>
    </row>
    <row r="315" spans="1:33" x14ac:dyDescent="0.25">
      <c r="A315" s="16" t="s">
        <v>904</v>
      </c>
      <c r="B315" s="17" t="s">
        <v>276</v>
      </c>
      <c r="C315" s="17" t="s">
        <v>41</v>
      </c>
      <c r="D315" s="10">
        <v>0</v>
      </c>
      <c r="E315" s="18">
        <v>4.3999999999999997E-2</v>
      </c>
      <c r="F315" s="18">
        <v>15</v>
      </c>
      <c r="G315" s="18">
        <v>20</v>
      </c>
      <c r="H315" s="8">
        <v>0</v>
      </c>
      <c r="I315" s="8">
        <v>0.17599999999999999</v>
      </c>
      <c r="J315" s="8">
        <v>0.17599999999999999</v>
      </c>
      <c r="K315" s="8">
        <v>2.6399999999999996E-2</v>
      </c>
      <c r="L315" s="8">
        <v>8.7999999999999992E-4</v>
      </c>
      <c r="M315" s="8">
        <v>3.0491999999999998E-2</v>
      </c>
      <c r="N315" s="8">
        <v>5.777199999999999E-2</v>
      </c>
      <c r="O315" s="8">
        <v>0</v>
      </c>
      <c r="P315" s="8">
        <v>0.18722</v>
      </c>
      <c r="Q315" s="8">
        <v>5.05494E-3</v>
      </c>
      <c r="R315" s="8">
        <v>3.1827400000000003E-3</v>
      </c>
      <c r="S315" s="8">
        <v>4.3371428571428561E-2</v>
      </c>
      <c r="T315" s="8">
        <v>0.23882910857142856</v>
      </c>
      <c r="U315" s="8">
        <v>0.29660110857142852</v>
      </c>
      <c r="V315" s="8">
        <v>5.9320221714285706E-2</v>
      </c>
      <c r="W315" s="8">
        <v>3.0491999999999998E-2</v>
      </c>
      <c r="X315" s="15">
        <v>0.32542933028571419</v>
      </c>
      <c r="AA315">
        <v>5350.33</v>
      </c>
      <c r="AB315" t="s">
        <v>30</v>
      </c>
      <c r="AC315" t="s">
        <v>1012</v>
      </c>
      <c r="AE315" t="s">
        <v>963</v>
      </c>
      <c r="AF315">
        <v>27</v>
      </c>
      <c r="AG315" t="s">
        <v>963</v>
      </c>
    </row>
    <row r="316" spans="1:33" x14ac:dyDescent="0.25">
      <c r="A316" s="13" t="s">
        <v>905</v>
      </c>
      <c r="B316" s="14" t="s">
        <v>906</v>
      </c>
      <c r="C316" s="14" t="s">
        <v>170</v>
      </c>
      <c r="D316" s="10">
        <v>0</v>
      </c>
      <c r="E316" s="10">
        <v>5.2999999999999999E-2</v>
      </c>
      <c r="F316" s="10">
        <v>0</v>
      </c>
      <c r="G316" s="10">
        <v>20</v>
      </c>
      <c r="H316" s="8">
        <v>0</v>
      </c>
      <c r="I316" s="8">
        <v>0.21199999999999999</v>
      </c>
      <c r="J316" s="8">
        <v>0.21199999999999999</v>
      </c>
      <c r="K316" s="8">
        <v>0</v>
      </c>
      <c r="L316" s="8">
        <v>1.06E-3</v>
      </c>
      <c r="M316" s="8">
        <v>3.1959000000000001E-2</v>
      </c>
      <c r="N316" s="8">
        <v>3.3019E-2</v>
      </c>
      <c r="O316" s="8">
        <v>0</v>
      </c>
      <c r="P316" s="8">
        <v>0.22551499999999997</v>
      </c>
      <c r="Q316" s="8">
        <v>6.0889049999999986E-3</v>
      </c>
      <c r="R316" s="8">
        <v>3.8337549999999999E-3</v>
      </c>
      <c r="S316" s="8">
        <v>5.2242857142857133E-2</v>
      </c>
      <c r="T316" s="8">
        <v>0.28768051714285708</v>
      </c>
      <c r="U316" s="8">
        <v>0.3206995171428571</v>
      </c>
      <c r="V316" s="8">
        <v>6.4139903428571426E-2</v>
      </c>
      <c r="W316" s="8">
        <v>3.1959000000000001E-2</v>
      </c>
      <c r="X316" s="15">
        <v>0.35288042057142849</v>
      </c>
      <c r="AA316">
        <v>5357.03</v>
      </c>
      <c r="AB316" t="s">
        <v>30</v>
      </c>
      <c r="AC316" t="s">
        <v>1013</v>
      </c>
      <c r="AE316" t="s">
        <v>964</v>
      </c>
      <c r="AG316" t="s">
        <v>964</v>
      </c>
    </row>
    <row r="317" spans="1:33" x14ac:dyDescent="0.25">
      <c r="A317" s="16" t="s">
        <v>907</v>
      </c>
      <c r="B317" s="17" t="s">
        <v>908</v>
      </c>
      <c r="C317" s="17" t="s">
        <v>93</v>
      </c>
      <c r="D317" s="10">
        <v>0</v>
      </c>
      <c r="E317" s="18">
        <v>3.6539999999999999</v>
      </c>
      <c r="F317" s="18">
        <v>15</v>
      </c>
      <c r="G317" s="18">
        <v>20</v>
      </c>
      <c r="H317" s="8">
        <v>0</v>
      </c>
      <c r="I317" s="8">
        <v>14.616</v>
      </c>
      <c r="J317" s="8">
        <v>14.616</v>
      </c>
      <c r="K317" s="8">
        <v>2.1923999999999997</v>
      </c>
      <c r="L317" s="8">
        <v>7.3080000000000006E-2</v>
      </c>
      <c r="M317" s="8">
        <v>2.532222</v>
      </c>
      <c r="N317" s="8">
        <v>4.7977019999999992</v>
      </c>
      <c r="O317" s="8">
        <v>0</v>
      </c>
      <c r="P317" s="8">
        <v>15.547769999999998</v>
      </c>
      <c r="Q317" s="8">
        <v>0.41978978999999994</v>
      </c>
      <c r="R317" s="8">
        <v>0.26431209</v>
      </c>
      <c r="S317" s="8">
        <v>3.6017999999999994</v>
      </c>
      <c r="T317" s="8">
        <v>19.833671879999997</v>
      </c>
      <c r="U317" s="8">
        <v>24.631373879999998</v>
      </c>
      <c r="V317" s="8">
        <v>4.9262747759999996</v>
      </c>
      <c r="W317" s="8">
        <v>2.532222</v>
      </c>
      <c r="X317" s="15">
        <v>27.025426655999997</v>
      </c>
      <c r="AA317">
        <v>248.44</v>
      </c>
      <c r="AB317" t="s">
        <v>30</v>
      </c>
      <c r="AC317" t="s">
        <v>1014</v>
      </c>
      <c r="AE317" t="s">
        <v>965</v>
      </c>
      <c r="AG317" t="s">
        <v>965</v>
      </c>
    </row>
    <row r="318" spans="1:33" x14ac:dyDescent="0.25">
      <c r="A318" s="13" t="s">
        <v>909</v>
      </c>
      <c r="B318" s="14" t="s">
        <v>910</v>
      </c>
      <c r="C318" s="14" t="s">
        <v>782</v>
      </c>
      <c r="D318" s="10">
        <v>0</v>
      </c>
      <c r="E318" s="10">
        <v>15.5</v>
      </c>
      <c r="F318" s="10">
        <v>0</v>
      </c>
      <c r="G318" s="10">
        <v>20</v>
      </c>
      <c r="H318" s="8">
        <v>0</v>
      </c>
      <c r="I318" s="8">
        <v>62</v>
      </c>
      <c r="J318" s="8">
        <v>62</v>
      </c>
      <c r="K318" s="8">
        <v>0</v>
      </c>
      <c r="L318" s="8">
        <v>0.31</v>
      </c>
      <c r="M318" s="8">
        <v>9.3465000000000007</v>
      </c>
      <c r="N318" s="8">
        <v>9.6565000000000012</v>
      </c>
      <c r="O318" s="8">
        <v>0</v>
      </c>
      <c r="P318" s="8">
        <v>65.952500000000001</v>
      </c>
      <c r="Q318" s="8">
        <v>1.7807175</v>
      </c>
      <c r="R318" s="8">
        <v>1.1211925</v>
      </c>
      <c r="S318" s="8">
        <v>15.278571428571427</v>
      </c>
      <c r="T318" s="8">
        <v>84.132981428571426</v>
      </c>
      <c r="U318" s="8">
        <v>93.789481428571435</v>
      </c>
      <c r="V318" s="8">
        <v>18.757896285714288</v>
      </c>
      <c r="W318" s="8">
        <v>9.3465000000000007</v>
      </c>
      <c r="X318" s="15">
        <v>103.20087771428571</v>
      </c>
      <c r="AA318">
        <v>194.87</v>
      </c>
      <c r="AB318" t="s">
        <v>30</v>
      </c>
      <c r="AC318" t="s">
        <v>1015</v>
      </c>
      <c r="AE318" t="s">
        <v>966</v>
      </c>
      <c r="AG318" t="s">
        <v>966</v>
      </c>
    </row>
    <row r="319" spans="1:33" x14ac:dyDescent="0.25">
      <c r="A319" s="16" t="s">
        <v>911</v>
      </c>
      <c r="B319" s="17" t="s">
        <v>912</v>
      </c>
      <c r="C319" s="17" t="s">
        <v>260</v>
      </c>
      <c r="D319" s="10">
        <v>73.569999999999993</v>
      </c>
      <c r="E319" s="18">
        <v>5.2999999999999999E-2</v>
      </c>
      <c r="F319" s="18">
        <v>0</v>
      </c>
      <c r="G319" s="18">
        <v>20</v>
      </c>
      <c r="H319" s="8">
        <v>0.73569999999999991</v>
      </c>
      <c r="I319" s="8">
        <v>0.21199999999999999</v>
      </c>
      <c r="J319" s="8">
        <v>74.517699999999991</v>
      </c>
      <c r="K319" s="8">
        <v>0</v>
      </c>
      <c r="L319" s="8">
        <v>0.37258849999999993</v>
      </c>
      <c r="M319" s="8">
        <v>11.233543274999999</v>
      </c>
      <c r="N319" s="8">
        <v>11.606131774999998</v>
      </c>
      <c r="O319" s="8">
        <v>3.6784999999999997</v>
      </c>
      <c r="P319" s="8">
        <v>0.22551499999999997</v>
      </c>
      <c r="Q319" s="8">
        <v>6.0889049999999986E-3</v>
      </c>
      <c r="R319" s="8">
        <v>3.8337549999999999E-3</v>
      </c>
      <c r="S319" s="8">
        <v>5.2242857142857133E-2</v>
      </c>
      <c r="T319" s="8">
        <v>0.28768051714285708</v>
      </c>
      <c r="U319" s="8">
        <v>89.142312292142847</v>
      </c>
      <c r="V319" s="8">
        <v>17.828462458428572</v>
      </c>
      <c r="W319" s="8">
        <v>11.233543274999999</v>
      </c>
      <c r="X319" s="15">
        <v>95.73723147557142</v>
      </c>
      <c r="AA319">
        <v>5361.86</v>
      </c>
      <c r="AB319" t="s">
        <v>30</v>
      </c>
      <c r="AC319" t="s">
        <v>1016</v>
      </c>
      <c r="AD319">
        <v>73.569999999999993</v>
      </c>
      <c r="AE319" t="s">
        <v>967</v>
      </c>
      <c r="AG319" t="s">
        <v>967</v>
      </c>
    </row>
    <row r="320" spans="1:33" x14ac:dyDescent="0.25">
      <c r="A320" s="13" t="s">
        <v>913</v>
      </c>
      <c r="B320" s="14" t="s">
        <v>914</v>
      </c>
      <c r="C320" s="14" t="s">
        <v>915</v>
      </c>
      <c r="D320" s="10">
        <v>60.38</v>
      </c>
      <c r="E320" s="10">
        <v>0.16</v>
      </c>
      <c r="F320" s="10">
        <v>5</v>
      </c>
      <c r="G320" s="10">
        <v>20</v>
      </c>
      <c r="H320" s="8">
        <v>0.6038</v>
      </c>
      <c r="I320" s="8">
        <v>0.64</v>
      </c>
      <c r="J320" s="8">
        <v>61.623800000000003</v>
      </c>
      <c r="K320" s="8">
        <v>3.0811900000000003</v>
      </c>
      <c r="L320" s="8">
        <v>0.30811900000000003</v>
      </c>
      <c r="M320" s="8">
        <v>9.7519663500000018</v>
      </c>
      <c r="N320" s="8">
        <v>13.141275350000003</v>
      </c>
      <c r="O320" s="8">
        <v>3.0190000000000001</v>
      </c>
      <c r="P320" s="8">
        <v>0.68080000000000007</v>
      </c>
      <c r="Q320" s="8">
        <v>1.8381600000000001E-2</v>
      </c>
      <c r="R320" s="8">
        <v>1.1573600000000002E-2</v>
      </c>
      <c r="S320" s="8">
        <v>0.15771428571428572</v>
      </c>
      <c r="T320" s="8">
        <v>0.86846948571428573</v>
      </c>
      <c r="U320" s="8">
        <v>77.408744835714288</v>
      </c>
      <c r="V320" s="8">
        <v>15.481748967142858</v>
      </c>
      <c r="W320" s="8">
        <v>9.7519663500000018</v>
      </c>
      <c r="X320" s="15">
        <v>83.138527452857147</v>
      </c>
      <c r="AA320">
        <v>5385.54</v>
      </c>
      <c r="AB320" t="s">
        <v>30</v>
      </c>
      <c r="AC320" t="s">
        <v>1017</v>
      </c>
      <c r="AD320">
        <v>60.38</v>
      </c>
      <c r="AE320" t="s">
        <v>968</v>
      </c>
      <c r="AG320" t="s">
        <v>968</v>
      </c>
    </row>
    <row r="321" spans="1:33" x14ac:dyDescent="0.25">
      <c r="A321" s="16" t="s">
        <v>916</v>
      </c>
      <c r="B321" s="17" t="s">
        <v>917</v>
      </c>
      <c r="C321" s="17" t="s">
        <v>80</v>
      </c>
      <c r="D321" s="10">
        <v>140.72999999999999</v>
      </c>
      <c r="E321" s="18">
        <v>6.7830000000000004</v>
      </c>
      <c r="F321" s="18">
        <v>8</v>
      </c>
      <c r="G321" s="18">
        <v>20</v>
      </c>
      <c r="H321" s="8">
        <v>1.4073</v>
      </c>
      <c r="I321" s="8">
        <v>27.132000000000001</v>
      </c>
      <c r="J321" s="8">
        <v>169.26929999999999</v>
      </c>
      <c r="K321" s="8">
        <v>13.541544</v>
      </c>
      <c r="L321" s="8">
        <v>0.8463465</v>
      </c>
      <c r="M321" s="8">
        <v>27.548578574999997</v>
      </c>
      <c r="N321" s="8">
        <v>41.936469074999998</v>
      </c>
      <c r="O321" s="8">
        <v>7.0365000000000002</v>
      </c>
      <c r="P321" s="8">
        <v>28.861664999999999</v>
      </c>
      <c r="Q321" s="8">
        <v>0.77926495499999993</v>
      </c>
      <c r="R321" s="8">
        <v>0.49064830500000001</v>
      </c>
      <c r="S321" s="8">
        <v>6.6860999999999997</v>
      </c>
      <c r="T321" s="8">
        <v>36.817678259999994</v>
      </c>
      <c r="U321" s="8">
        <v>226.52064733499998</v>
      </c>
      <c r="V321" s="8">
        <v>45.304129466999996</v>
      </c>
      <c r="W321" s="8">
        <v>27.548578574999997</v>
      </c>
      <c r="X321" s="15">
        <v>244.27619822699998</v>
      </c>
      <c r="AA321">
        <v>5616.34</v>
      </c>
      <c r="AB321" t="s">
        <v>30</v>
      </c>
      <c r="AC321" t="s">
        <v>1018</v>
      </c>
      <c r="AD321">
        <v>140.72999999999999</v>
      </c>
      <c r="AE321" t="s">
        <v>969</v>
      </c>
      <c r="AG321" t="s">
        <v>969</v>
      </c>
    </row>
    <row r="322" spans="1:33" x14ac:dyDescent="0.25">
      <c r="A322" s="13" t="s">
        <v>918</v>
      </c>
      <c r="B322" s="14" t="s">
        <v>56</v>
      </c>
      <c r="C322" s="14" t="s">
        <v>48</v>
      </c>
      <c r="D322" s="10">
        <v>202.22</v>
      </c>
      <c r="E322" s="10">
        <v>4</v>
      </c>
      <c r="F322" s="10">
        <v>15</v>
      </c>
      <c r="G322" s="10">
        <v>20</v>
      </c>
      <c r="H322" s="8">
        <v>2.0222000000000002</v>
      </c>
      <c r="I322" s="8">
        <v>16</v>
      </c>
      <c r="J322" s="8">
        <v>220.2422</v>
      </c>
      <c r="K322" s="8">
        <v>33.03633</v>
      </c>
      <c r="L322" s="8">
        <v>1.1012109999999999</v>
      </c>
      <c r="M322" s="8">
        <v>38.156961150000001</v>
      </c>
      <c r="N322" s="8">
        <v>72.29450215</v>
      </c>
      <c r="O322" s="8">
        <v>10.111000000000001</v>
      </c>
      <c r="P322" s="8">
        <v>17.02</v>
      </c>
      <c r="Q322" s="8">
        <v>0.45954</v>
      </c>
      <c r="R322" s="8">
        <v>0.28933999999999999</v>
      </c>
      <c r="S322" s="8">
        <v>3.9428571428571422</v>
      </c>
      <c r="T322" s="8">
        <v>21.711737142857142</v>
      </c>
      <c r="U322" s="8">
        <v>306.33723929285713</v>
      </c>
      <c r="V322" s="8">
        <v>61.26744785857143</v>
      </c>
      <c r="W322" s="8">
        <v>38.156961150000001</v>
      </c>
      <c r="X322" s="15">
        <v>329.44772600142858</v>
      </c>
      <c r="AA322">
        <v>5690.17</v>
      </c>
      <c r="AB322" t="s">
        <v>30</v>
      </c>
      <c r="AC322" t="s">
        <v>1019</v>
      </c>
      <c r="AD322">
        <v>202.22</v>
      </c>
      <c r="AE322" t="s">
        <v>970</v>
      </c>
      <c r="AG322" t="s">
        <v>970</v>
      </c>
    </row>
    <row r="323" spans="1:33" ht="8.1" customHeight="1" thickBot="1" x14ac:dyDescent="0.3"/>
    <row r="324" spans="1:33" x14ac:dyDescent="0.25">
      <c r="A324" s="30" t="s">
        <v>1020</v>
      </c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</row>
    <row r="325" spans="1:33" x14ac:dyDescent="0.25">
      <c r="A325" s="13" t="s">
        <v>1021</v>
      </c>
      <c r="B325" s="14" t="s">
        <v>1022</v>
      </c>
      <c r="C325" s="19"/>
      <c r="D325" s="10"/>
      <c r="E325" s="10"/>
      <c r="F325" s="10"/>
      <c r="G325" s="10">
        <v>20</v>
      </c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15"/>
      <c r="AB325" t="s">
        <v>30</v>
      </c>
      <c r="AE325" t="s">
        <v>1132</v>
      </c>
      <c r="AG325" t="s">
        <v>1132</v>
      </c>
    </row>
    <row r="326" spans="1:33" x14ac:dyDescent="0.25">
      <c r="A326" s="16" t="s">
        <v>1023</v>
      </c>
      <c r="B326" s="17" t="s">
        <v>1024</v>
      </c>
      <c r="C326" s="19"/>
      <c r="D326" s="18"/>
      <c r="E326" s="18"/>
      <c r="F326" s="18"/>
      <c r="G326" s="18">
        <v>20</v>
      </c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15"/>
      <c r="AB326" t="s">
        <v>30</v>
      </c>
      <c r="AE326" t="s">
        <v>1133</v>
      </c>
      <c r="AG326" t="s">
        <v>1133</v>
      </c>
    </row>
    <row r="327" spans="1:33" x14ac:dyDescent="0.25">
      <c r="A327" s="13" t="s">
        <v>1025</v>
      </c>
      <c r="B327" s="14" t="s">
        <v>1026</v>
      </c>
      <c r="C327" s="14" t="s">
        <v>1027</v>
      </c>
      <c r="D327" s="10"/>
      <c r="E327" s="10"/>
      <c r="F327" s="10">
        <v>5</v>
      </c>
      <c r="G327" s="10">
        <v>20</v>
      </c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15"/>
      <c r="AB327" t="s">
        <v>30</v>
      </c>
      <c r="AE327" t="s">
        <v>1134</v>
      </c>
      <c r="AG327" t="s">
        <v>1134</v>
      </c>
    </row>
    <row r="328" spans="1:33" x14ac:dyDescent="0.25">
      <c r="A328" s="16" t="s">
        <v>1028</v>
      </c>
      <c r="B328" s="17" t="s">
        <v>1029</v>
      </c>
      <c r="C328" s="17" t="s">
        <v>1030</v>
      </c>
      <c r="D328" s="18"/>
      <c r="E328" s="18"/>
      <c r="F328" s="18">
        <v>0</v>
      </c>
      <c r="G328" s="18">
        <v>20</v>
      </c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15"/>
      <c r="AB328" t="s">
        <v>30</v>
      </c>
      <c r="AE328" t="s">
        <v>1135</v>
      </c>
      <c r="AG328" t="s">
        <v>1135</v>
      </c>
    </row>
    <row r="329" spans="1:33" x14ac:dyDescent="0.25">
      <c r="A329" s="13" t="s">
        <v>1031</v>
      </c>
      <c r="B329" s="14" t="s">
        <v>1032</v>
      </c>
      <c r="C329" s="14" t="s">
        <v>1033</v>
      </c>
      <c r="D329" s="10"/>
      <c r="E329" s="10"/>
      <c r="F329" s="10">
        <v>15</v>
      </c>
      <c r="G329" s="10">
        <v>20</v>
      </c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15"/>
      <c r="AB329" t="s">
        <v>30</v>
      </c>
      <c r="AE329" t="s">
        <v>1136</v>
      </c>
      <c r="AG329" t="s">
        <v>1136</v>
      </c>
    </row>
    <row r="330" spans="1:33" x14ac:dyDescent="0.25">
      <c r="A330" s="16" t="s">
        <v>1034</v>
      </c>
      <c r="B330" s="17" t="s">
        <v>1035</v>
      </c>
      <c r="C330" s="19"/>
      <c r="D330" s="18"/>
      <c r="E330" s="18"/>
      <c r="F330" s="18"/>
      <c r="G330" s="18">
        <v>20</v>
      </c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15"/>
      <c r="AB330" t="s">
        <v>30</v>
      </c>
      <c r="AE330" t="s">
        <v>1137</v>
      </c>
      <c r="AG330" t="s">
        <v>1137</v>
      </c>
    </row>
    <row r="331" spans="1:33" x14ac:dyDescent="0.25">
      <c r="A331" s="13" t="s">
        <v>1036</v>
      </c>
      <c r="B331" s="14" t="s">
        <v>1037</v>
      </c>
      <c r="C331" s="14" t="s">
        <v>1038</v>
      </c>
      <c r="D331" s="10"/>
      <c r="E331" s="10"/>
      <c r="F331" s="10">
        <v>10</v>
      </c>
      <c r="G331" s="10">
        <v>20</v>
      </c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15"/>
      <c r="AB331" t="s">
        <v>30</v>
      </c>
      <c r="AE331" t="s">
        <v>1138</v>
      </c>
      <c r="AG331" t="s">
        <v>1138</v>
      </c>
    </row>
    <row r="332" spans="1:33" x14ac:dyDescent="0.25">
      <c r="A332" s="16" t="s">
        <v>1039</v>
      </c>
      <c r="B332" s="17" t="s">
        <v>1040</v>
      </c>
      <c r="C332" s="17" t="s">
        <v>1038</v>
      </c>
      <c r="D332" s="18"/>
      <c r="E332" s="18"/>
      <c r="F332" s="18">
        <v>10</v>
      </c>
      <c r="G332" s="18">
        <v>20</v>
      </c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15"/>
      <c r="AB332" t="s">
        <v>30</v>
      </c>
      <c r="AE332" t="s">
        <v>1139</v>
      </c>
      <c r="AG332" t="s">
        <v>1139</v>
      </c>
    </row>
    <row r="333" spans="1:33" x14ac:dyDescent="0.25">
      <c r="A333" s="13" t="s">
        <v>1041</v>
      </c>
      <c r="B333" s="14" t="s">
        <v>1042</v>
      </c>
      <c r="C333" s="14" t="s">
        <v>45</v>
      </c>
      <c r="D333" s="10"/>
      <c r="E333" s="10"/>
      <c r="F333" s="10">
        <v>0</v>
      </c>
      <c r="G333" s="10">
        <v>20</v>
      </c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15"/>
      <c r="AB333" t="s">
        <v>30</v>
      </c>
      <c r="AC333" t="s">
        <v>1187</v>
      </c>
      <c r="AE333" t="s">
        <v>1140</v>
      </c>
      <c r="AG333" t="s">
        <v>1140</v>
      </c>
    </row>
    <row r="334" spans="1:33" x14ac:dyDescent="0.25">
      <c r="A334" s="16" t="s">
        <v>1043</v>
      </c>
      <c r="B334" s="17" t="s">
        <v>1044</v>
      </c>
      <c r="C334" s="17" t="s">
        <v>125</v>
      </c>
      <c r="D334" s="18"/>
      <c r="E334" s="18"/>
      <c r="F334" s="18">
        <v>0</v>
      </c>
      <c r="G334" s="18">
        <v>20</v>
      </c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15"/>
      <c r="AB334" t="s">
        <v>30</v>
      </c>
      <c r="AE334" t="s">
        <v>1141</v>
      </c>
      <c r="AG334" t="s">
        <v>1141</v>
      </c>
    </row>
    <row r="335" spans="1:33" x14ac:dyDescent="0.25">
      <c r="A335" s="13" t="s">
        <v>1045</v>
      </c>
      <c r="B335" s="14" t="s">
        <v>1046</v>
      </c>
      <c r="C335" s="19"/>
      <c r="D335" s="10"/>
      <c r="E335" s="10"/>
      <c r="F335" s="10"/>
      <c r="G335" s="10">
        <v>20</v>
      </c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15"/>
      <c r="AB335" t="s">
        <v>30</v>
      </c>
      <c r="AE335" t="s">
        <v>1142</v>
      </c>
      <c r="AG335" t="s">
        <v>1142</v>
      </c>
    </row>
    <row r="336" spans="1:33" x14ac:dyDescent="0.25">
      <c r="A336" s="16" t="s">
        <v>1047</v>
      </c>
      <c r="B336" s="17" t="s">
        <v>1048</v>
      </c>
      <c r="C336" s="19"/>
      <c r="D336" s="18"/>
      <c r="E336" s="18"/>
      <c r="F336" s="18"/>
      <c r="G336" s="18">
        <v>20</v>
      </c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15"/>
      <c r="AB336" t="s">
        <v>30</v>
      </c>
      <c r="AE336" t="s">
        <v>1143</v>
      </c>
      <c r="AG336" t="s">
        <v>1143</v>
      </c>
    </row>
    <row r="337" spans="1:33" x14ac:dyDescent="0.25">
      <c r="A337" s="13" t="s">
        <v>1049</v>
      </c>
      <c r="B337" s="14" t="s">
        <v>1050</v>
      </c>
      <c r="C337" s="19"/>
      <c r="D337" s="10"/>
      <c r="E337" s="10"/>
      <c r="F337" s="10"/>
      <c r="G337" s="10">
        <v>20</v>
      </c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15"/>
      <c r="AB337" t="s">
        <v>30</v>
      </c>
      <c r="AE337" t="s">
        <v>1144</v>
      </c>
      <c r="AG337" t="s">
        <v>1144</v>
      </c>
    </row>
    <row r="338" spans="1:33" x14ac:dyDescent="0.25">
      <c r="A338" s="16" t="s">
        <v>1051</v>
      </c>
      <c r="B338" s="17" t="s">
        <v>1052</v>
      </c>
      <c r="C338" s="17" t="s">
        <v>93</v>
      </c>
      <c r="D338" s="18"/>
      <c r="E338" s="18"/>
      <c r="F338" s="18">
        <v>15</v>
      </c>
      <c r="G338" s="18">
        <v>20</v>
      </c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15"/>
      <c r="AB338" t="s">
        <v>30</v>
      </c>
      <c r="AC338" t="s">
        <v>1187</v>
      </c>
      <c r="AE338" t="s">
        <v>1145</v>
      </c>
      <c r="AG338" t="s">
        <v>1145</v>
      </c>
    </row>
    <row r="339" spans="1:33" x14ac:dyDescent="0.25">
      <c r="A339" s="13" t="s">
        <v>1053</v>
      </c>
      <c r="B339" s="14" t="s">
        <v>1054</v>
      </c>
      <c r="C339" s="14" t="s">
        <v>100</v>
      </c>
      <c r="D339" s="10"/>
      <c r="E339" s="10"/>
      <c r="F339" s="10">
        <v>10</v>
      </c>
      <c r="G339" s="10">
        <v>20</v>
      </c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15"/>
      <c r="AB339" t="s">
        <v>30</v>
      </c>
      <c r="AE339" t="s">
        <v>1146</v>
      </c>
      <c r="AG339" t="s">
        <v>1146</v>
      </c>
    </row>
    <row r="340" spans="1:33" x14ac:dyDescent="0.25">
      <c r="A340" s="16" t="s">
        <v>1055</v>
      </c>
      <c r="B340" s="17" t="s">
        <v>1056</v>
      </c>
      <c r="C340" s="17" t="s">
        <v>100</v>
      </c>
      <c r="D340" s="18"/>
      <c r="E340" s="18"/>
      <c r="F340" s="18">
        <v>10</v>
      </c>
      <c r="G340" s="18">
        <v>20</v>
      </c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15"/>
      <c r="AB340" t="s">
        <v>30</v>
      </c>
      <c r="AE340" t="s">
        <v>1147</v>
      </c>
      <c r="AG340" t="s">
        <v>1147</v>
      </c>
    </row>
    <row r="341" spans="1:33" x14ac:dyDescent="0.25">
      <c r="A341" s="13" t="s">
        <v>1057</v>
      </c>
      <c r="B341" s="14" t="s">
        <v>1058</v>
      </c>
      <c r="C341" s="14" t="s">
        <v>100</v>
      </c>
      <c r="D341" s="10"/>
      <c r="E341" s="10"/>
      <c r="F341" s="10">
        <v>10</v>
      </c>
      <c r="G341" s="10">
        <v>20</v>
      </c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15"/>
      <c r="AB341" t="s">
        <v>30</v>
      </c>
      <c r="AE341" t="s">
        <v>1148</v>
      </c>
      <c r="AG341" t="s">
        <v>1148</v>
      </c>
    </row>
    <row r="342" spans="1:33" x14ac:dyDescent="0.25">
      <c r="A342" s="16" t="s">
        <v>1059</v>
      </c>
      <c r="B342" s="17" t="s">
        <v>1060</v>
      </c>
      <c r="C342" s="17" t="s">
        <v>1061</v>
      </c>
      <c r="D342" s="18"/>
      <c r="E342" s="18"/>
      <c r="F342" s="18">
        <v>0</v>
      </c>
      <c r="G342" s="18">
        <v>20</v>
      </c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15"/>
      <c r="AB342" t="s">
        <v>30</v>
      </c>
      <c r="AE342" t="s">
        <v>1149</v>
      </c>
      <c r="AG342" t="s">
        <v>1149</v>
      </c>
    </row>
    <row r="343" spans="1:33" x14ac:dyDescent="0.25">
      <c r="A343" s="13" t="s">
        <v>1062</v>
      </c>
      <c r="B343" s="14" t="s">
        <v>1063</v>
      </c>
      <c r="C343" s="14" t="s">
        <v>85</v>
      </c>
      <c r="D343" s="10"/>
      <c r="E343" s="10"/>
      <c r="F343" s="10">
        <v>20</v>
      </c>
      <c r="G343" s="10">
        <v>20</v>
      </c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15"/>
      <c r="AB343" t="s">
        <v>30</v>
      </c>
      <c r="AC343" t="s">
        <v>1187</v>
      </c>
      <c r="AD343">
        <v>364.54</v>
      </c>
      <c r="AE343" t="s">
        <v>1150</v>
      </c>
      <c r="AF343">
        <v>259.63</v>
      </c>
      <c r="AG343" t="s">
        <v>1150</v>
      </c>
    </row>
    <row r="344" spans="1:33" x14ac:dyDescent="0.25">
      <c r="A344" s="16" t="s">
        <v>1064</v>
      </c>
      <c r="B344" s="17" t="s">
        <v>1065</v>
      </c>
      <c r="C344" s="17" t="s">
        <v>85</v>
      </c>
      <c r="D344" s="18"/>
      <c r="E344" s="18"/>
      <c r="F344" s="18">
        <v>20</v>
      </c>
      <c r="G344" s="18">
        <v>20</v>
      </c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15"/>
      <c r="AB344" t="s">
        <v>30</v>
      </c>
      <c r="AC344" t="s">
        <v>1187</v>
      </c>
      <c r="AE344" t="s">
        <v>1151</v>
      </c>
      <c r="AF344">
        <v>259.63</v>
      </c>
      <c r="AG344" t="s">
        <v>1151</v>
      </c>
    </row>
    <row r="345" spans="1:33" x14ac:dyDescent="0.25">
      <c r="A345" s="13" t="s">
        <v>1066</v>
      </c>
      <c r="B345" s="14" t="s">
        <v>1067</v>
      </c>
      <c r="C345" s="14" t="s">
        <v>1068</v>
      </c>
      <c r="D345" s="10"/>
      <c r="E345" s="10"/>
      <c r="F345" s="10">
        <v>0</v>
      </c>
      <c r="G345" s="10">
        <v>20</v>
      </c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15"/>
      <c r="AB345" t="s">
        <v>30</v>
      </c>
      <c r="AE345" t="s">
        <v>1152</v>
      </c>
      <c r="AG345" t="s">
        <v>1152</v>
      </c>
    </row>
    <row r="346" spans="1:33" x14ac:dyDescent="0.25">
      <c r="A346" s="16" t="s">
        <v>1069</v>
      </c>
      <c r="B346" s="17" t="s">
        <v>1070</v>
      </c>
      <c r="C346" s="17" t="s">
        <v>80</v>
      </c>
      <c r="D346" s="18"/>
      <c r="E346" s="18"/>
      <c r="F346" s="18">
        <v>8</v>
      </c>
      <c r="G346" s="18">
        <v>20</v>
      </c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15"/>
      <c r="AB346" t="s">
        <v>30</v>
      </c>
      <c r="AC346" t="s">
        <v>1187</v>
      </c>
      <c r="AD346">
        <v>62.67</v>
      </c>
      <c r="AE346" t="s">
        <v>1153</v>
      </c>
      <c r="AF346">
        <v>112.72</v>
      </c>
      <c r="AG346" t="s">
        <v>1153</v>
      </c>
    </row>
    <row r="347" spans="1:33" x14ac:dyDescent="0.25">
      <c r="A347" s="13" t="s">
        <v>1071</v>
      </c>
      <c r="B347" s="14" t="s">
        <v>87</v>
      </c>
      <c r="C347" s="14" t="s">
        <v>41</v>
      </c>
      <c r="D347" s="10"/>
      <c r="E347" s="10"/>
      <c r="F347" s="10">
        <v>15</v>
      </c>
      <c r="G347" s="10">
        <v>20</v>
      </c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15"/>
      <c r="AB347" t="s">
        <v>30</v>
      </c>
      <c r="AC347" t="s">
        <v>1187</v>
      </c>
      <c r="AE347" t="s">
        <v>1154</v>
      </c>
      <c r="AF347">
        <v>122.57</v>
      </c>
      <c r="AG347" t="s">
        <v>1154</v>
      </c>
    </row>
    <row r="348" spans="1:33" x14ac:dyDescent="0.25">
      <c r="A348" s="16" t="s">
        <v>1072</v>
      </c>
      <c r="B348" s="17" t="s">
        <v>1073</v>
      </c>
      <c r="C348" s="19"/>
      <c r="D348" s="18"/>
      <c r="E348" s="18"/>
      <c r="F348" s="18"/>
      <c r="G348" s="18">
        <v>20</v>
      </c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15"/>
      <c r="AB348" t="s">
        <v>30</v>
      </c>
      <c r="AE348" t="s">
        <v>1155</v>
      </c>
      <c r="AG348" t="s">
        <v>1155</v>
      </c>
    </row>
    <row r="349" spans="1:33" x14ac:dyDescent="0.25">
      <c r="A349" s="13" t="s">
        <v>1074</v>
      </c>
      <c r="B349" s="14" t="s">
        <v>1075</v>
      </c>
      <c r="C349" s="19"/>
      <c r="D349" s="10"/>
      <c r="E349" s="10"/>
      <c r="F349" s="10"/>
      <c r="G349" s="10">
        <v>20</v>
      </c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15"/>
      <c r="AB349" t="s">
        <v>30</v>
      </c>
      <c r="AE349" t="s">
        <v>1156</v>
      </c>
      <c r="AG349" t="s">
        <v>1156</v>
      </c>
    </row>
    <row r="350" spans="1:33" x14ac:dyDescent="0.25">
      <c r="A350" s="16" t="s">
        <v>1076</v>
      </c>
      <c r="B350" s="17" t="s">
        <v>1077</v>
      </c>
      <c r="C350" s="19"/>
      <c r="D350" s="18"/>
      <c r="E350" s="18"/>
      <c r="F350" s="18"/>
      <c r="G350" s="18">
        <v>20</v>
      </c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15"/>
      <c r="AB350" t="s">
        <v>30</v>
      </c>
      <c r="AE350" t="s">
        <v>1157</v>
      </c>
      <c r="AG350" t="s">
        <v>1157</v>
      </c>
    </row>
    <row r="351" spans="1:33" x14ac:dyDescent="0.25">
      <c r="A351" s="13" t="s">
        <v>1078</v>
      </c>
      <c r="B351" s="14" t="s">
        <v>1079</v>
      </c>
      <c r="C351" s="19"/>
      <c r="D351" s="10"/>
      <c r="E351" s="10"/>
      <c r="F351" s="10"/>
      <c r="G351" s="10">
        <v>20</v>
      </c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15"/>
      <c r="AB351" t="s">
        <v>30</v>
      </c>
      <c r="AE351" t="s">
        <v>1158</v>
      </c>
      <c r="AG351" t="s">
        <v>1158</v>
      </c>
    </row>
    <row r="352" spans="1:33" x14ac:dyDescent="0.25">
      <c r="A352" s="16" t="s">
        <v>1080</v>
      </c>
      <c r="B352" s="17" t="s">
        <v>1081</v>
      </c>
      <c r="C352" s="19"/>
      <c r="D352" s="18"/>
      <c r="E352" s="18"/>
      <c r="F352" s="18"/>
      <c r="G352" s="18">
        <v>20</v>
      </c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15"/>
      <c r="AB352" t="s">
        <v>30</v>
      </c>
      <c r="AE352" t="s">
        <v>1159</v>
      </c>
      <c r="AG352" t="s">
        <v>1159</v>
      </c>
    </row>
    <row r="353" spans="1:33" x14ac:dyDescent="0.25">
      <c r="A353" s="13" t="s">
        <v>1082</v>
      </c>
      <c r="B353" s="14" t="s">
        <v>1083</v>
      </c>
      <c r="C353" s="19"/>
      <c r="D353" s="10"/>
      <c r="E353" s="10"/>
      <c r="F353" s="10"/>
      <c r="G353" s="10">
        <v>20</v>
      </c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15"/>
      <c r="AB353" t="s">
        <v>30</v>
      </c>
      <c r="AE353" t="s">
        <v>1160</v>
      </c>
      <c r="AG353" t="s">
        <v>1160</v>
      </c>
    </row>
    <row r="354" spans="1:33" x14ac:dyDescent="0.25">
      <c r="A354" s="16" t="s">
        <v>1084</v>
      </c>
      <c r="B354" s="17" t="s">
        <v>1085</v>
      </c>
      <c r="C354" s="17" t="s">
        <v>80</v>
      </c>
      <c r="D354" s="18"/>
      <c r="E354" s="18"/>
      <c r="F354" s="18">
        <v>8</v>
      </c>
      <c r="G354" s="18">
        <v>20</v>
      </c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15"/>
      <c r="AB354" t="s">
        <v>30</v>
      </c>
      <c r="AC354" t="s">
        <v>1187</v>
      </c>
      <c r="AD354">
        <v>126.54</v>
      </c>
      <c r="AE354" t="s">
        <v>1161</v>
      </c>
      <c r="AG354" t="s">
        <v>1161</v>
      </c>
    </row>
    <row r="355" spans="1:33" x14ac:dyDescent="0.25">
      <c r="A355" s="13" t="s">
        <v>1086</v>
      </c>
      <c r="B355" s="14" t="s">
        <v>1087</v>
      </c>
      <c r="C355" s="19"/>
      <c r="D355" s="10"/>
      <c r="E355" s="10"/>
      <c r="F355" s="10"/>
      <c r="G355" s="10">
        <v>20</v>
      </c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15"/>
      <c r="AB355" t="s">
        <v>30</v>
      </c>
      <c r="AE355" t="s">
        <v>1162</v>
      </c>
      <c r="AG355" t="s">
        <v>1162</v>
      </c>
    </row>
    <row r="356" spans="1:33" x14ac:dyDescent="0.25">
      <c r="A356" s="16" t="s">
        <v>1088</v>
      </c>
      <c r="B356" s="17" t="s">
        <v>92</v>
      </c>
      <c r="C356" s="17" t="s">
        <v>93</v>
      </c>
      <c r="D356" s="18"/>
      <c r="E356" s="18"/>
      <c r="F356" s="18">
        <v>15</v>
      </c>
      <c r="G356" s="18">
        <v>20</v>
      </c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15"/>
      <c r="AB356" t="s">
        <v>30</v>
      </c>
      <c r="AC356" t="s">
        <v>1187</v>
      </c>
      <c r="AE356" t="s">
        <v>1163</v>
      </c>
      <c r="AG356" t="s">
        <v>1163</v>
      </c>
    </row>
    <row r="357" spans="1:33" x14ac:dyDescent="0.25">
      <c r="A357" s="13" t="s">
        <v>1089</v>
      </c>
      <c r="B357" s="14" t="s">
        <v>1090</v>
      </c>
      <c r="C357" s="14" t="s">
        <v>1091</v>
      </c>
      <c r="D357" s="10"/>
      <c r="E357" s="10"/>
      <c r="F357" s="10">
        <v>0</v>
      </c>
      <c r="G357" s="10">
        <v>20</v>
      </c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15"/>
      <c r="AB357" t="s">
        <v>30</v>
      </c>
      <c r="AE357" t="s">
        <v>1164</v>
      </c>
      <c r="AG357" t="s">
        <v>1164</v>
      </c>
    </row>
    <row r="358" spans="1:33" x14ac:dyDescent="0.25">
      <c r="A358" s="16" t="s">
        <v>1092</v>
      </c>
      <c r="B358" s="17" t="s">
        <v>1093</v>
      </c>
      <c r="C358" s="17" t="s">
        <v>93</v>
      </c>
      <c r="D358" s="18"/>
      <c r="E358" s="18"/>
      <c r="F358" s="18">
        <v>15</v>
      </c>
      <c r="G358" s="18">
        <v>20</v>
      </c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15"/>
      <c r="AB358" t="s">
        <v>30</v>
      </c>
      <c r="AE358" t="s">
        <v>1165</v>
      </c>
      <c r="AG358" t="s">
        <v>1165</v>
      </c>
    </row>
    <row r="359" spans="1:33" x14ac:dyDescent="0.25">
      <c r="A359" s="13" t="s">
        <v>1094</v>
      </c>
      <c r="B359" s="14" t="s">
        <v>1095</v>
      </c>
      <c r="C359" s="14" t="s">
        <v>93</v>
      </c>
      <c r="D359" s="10"/>
      <c r="E359" s="10"/>
      <c r="F359" s="10">
        <v>15</v>
      </c>
      <c r="G359" s="10">
        <v>20</v>
      </c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15"/>
      <c r="AB359" t="s">
        <v>30</v>
      </c>
      <c r="AE359" t="s">
        <v>1166</v>
      </c>
      <c r="AG359" t="s">
        <v>1166</v>
      </c>
    </row>
    <row r="360" spans="1:33" x14ac:dyDescent="0.25">
      <c r="A360" s="16" t="s">
        <v>1096</v>
      </c>
      <c r="B360" s="17" t="s">
        <v>1097</v>
      </c>
      <c r="C360" s="17" t="s">
        <v>93</v>
      </c>
      <c r="D360" s="18"/>
      <c r="E360" s="18"/>
      <c r="F360" s="18">
        <v>15</v>
      </c>
      <c r="G360" s="18">
        <v>20</v>
      </c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15"/>
      <c r="AB360" t="s">
        <v>30</v>
      </c>
      <c r="AE360" t="s">
        <v>1167</v>
      </c>
      <c r="AG360" t="s">
        <v>1167</v>
      </c>
    </row>
    <row r="361" spans="1:33" x14ac:dyDescent="0.25">
      <c r="A361" s="13" t="s">
        <v>1098</v>
      </c>
      <c r="B361" s="14" t="s">
        <v>1099</v>
      </c>
      <c r="C361" s="14" t="s">
        <v>357</v>
      </c>
      <c r="D361" s="10"/>
      <c r="E361" s="10"/>
      <c r="F361" s="10">
        <v>0</v>
      </c>
      <c r="G361" s="10">
        <v>20</v>
      </c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15"/>
      <c r="AB361" t="s">
        <v>30</v>
      </c>
      <c r="AE361" t="s">
        <v>1168</v>
      </c>
      <c r="AG361" t="s">
        <v>1168</v>
      </c>
    </row>
    <row r="362" spans="1:33" x14ac:dyDescent="0.25">
      <c r="A362" s="16" t="s">
        <v>1100</v>
      </c>
      <c r="B362" s="17" t="s">
        <v>1101</v>
      </c>
      <c r="C362" s="19"/>
      <c r="D362" s="18"/>
      <c r="E362" s="18"/>
      <c r="F362" s="18"/>
      <c r="G362" s="18">
        <v>20</v>
      </c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15"/>
      <c r="AB362" t="s">
        <v>30</v>
      </c>
      <c r="AE362" t="s">
        <v>1169</v>
      </c>
      <c r="AG362" t="s">
        <v>1169</v>
      </c>
    </row>
    <row r="363" spans="1:33" x14ac:dyDescent="0.25">
      <c r="A363" s="13" t="s">
        <v>1102</v>
      </c>
      <c r="B363" s="14" t="s">
        <v>789</v>
      </c>
      <c r="C363" s="14" t="s">
        <v>790</v>
      </c>
      <c r="D363" s="10"/>
      <c r="E363" s="10"/>
      <c r="F363" s="10">
        <v>10</v>
      </c>
      <c r="G363" s="10">
        <v>20</v>
      </c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15"/>
      <c r="AB363" t="s">
        <v>30</v>
      </c>
      <c r="AC363" t="s">
        <v>1187</v>
      </c>
      <c r="AE363" t="s">
        <v>1170</v>
      </c>
      <c r="AG363" t="s">
        <v>1170</v>
      </c>
    </row>
    <row r="364" spans="1:33" x14ac:dyDescent="0.25">
      <c r="A364" s="16" t="s">
        <v>1103</v>
      </c>
      <c r="B364" s="17" t="s">
        <v>362</v>
      </c>
      <c r="C364" s="17" t="s">
        <v>45</v>
      </c>
      <c r="D364" s="18"/>
      <c r="E364" s="18"/>
      <c r="F364" s="18">
        <v>0</v>
      </c>
      <c r="G364" s="18">
        <v>20</v>
      </c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15"/>
      <c r="AB364" t="s">
        <v>30</v>
      </c>
      <c r="AC364" t="s">
        <v>1187</v>
      </c>
      <c r="AE364" t="s">
        <v>1171</v>
      </c>
      <c r="AF364">
        <v>147.66</v>
      </c>
      <c r="AG364" t="s">
        <v>1171</v>
      </c>
    </row>
    <row r="365" spans="1:33" x14ac:dyDescent="0.25">
      <c r="A365" s="13" t="s">
        <v>1104</v>
      </c>
      <c r="B365" s="14" t="s">
        <v>1105</v>
      </c>
      <c r="C365" s="14" t="s">
        <v>93</v>
      </c>
      <c r="D365" s="10"/>
      <c r="E365" s="10"/>
      <c r="F365" s="10">
        <v>15</v>
      </c>
      <c r="G365" s="10">
        <v>20</v>
      </c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15"/>
      <c r="AB365" t="s">
        <v>30</v>
      </c>
      <c r="AC365" t="s">
        <v>1187</v>
      </c>
      <c r="AE365" t="s">
        <v>1172</v>
      </c>
      <c r="AG365" t="s">
        <v>1172</v>
      </c>
    </row>
    <row r="366" spans="1:33" x14ac:dyDescent="0.25">
      <c r="A366" s="16" t="s">
        <v>1106</v>
      </c>
      <c r="B366" s="17" t="s">
        <v>1107</v>
      </c>
      <c r="C366" s="17" t="s">
        <v>93</v>
      </c>
      <c r="D366" s="18"/>
      <c r="E366" s="18"/>
      <c r="F366" s="18">
        <v>15</v>
      </c>
      <c r="G366" s="18">
        <v>20</v>
      </c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15"/>
      <c r="AB366" t="s">
        <v>30</v>
      </c>
      <c r="AC366" t="s">
        <v>1187</v>
      </c>
      <c r="AE366" t="s">
        <v>1173</v>
      </c>
      <c r="AF366">
        <v>35.99</v>
      </c>
      <c r="AG366" t="s">
        <v>1173</v>
      </c>
    </row>
    <row r="367" spans="1:33" x14ac:dyDescent="0.25">
      <c r="A367" s="13" t="s">
        <v>1108</v>
      </c>
      <c r="B367" s="14" t="s">
        <v>1109</v>
      </c>
      <c r="C367" s="14" t="s">
        <v>90</v>
      </c>
      <c r="D367" s="10"/>
      <c r="E367" s="10"/>
      <c r="F367" s="10">
        <v>15</v>
      </c>
      <c r="G367" s="10">
        <v>20</v>
      </c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15"/>
      <c r="AB367" t="s">
        <v>30</v>
      </c>
      <c r="AE367" t="s">
        <v>1174</v>
      </c>
      <c r="AG367" t="s">
        <v>1174</v>
      </c>
    </row>
    <row r="368" spans="1:33" x14ac:dyDescent="0.25">
      <c r="A368" s="16" t="s">
        <v>1110</v>
      </c>
      <c r="B368" s="17" t="s">
        <v>1111</v>
      </c>
      <c r="C368" s="17" t="s">
        <v>90</v>
      </c>
      <c r="D368" s="18"/>
      <c r="E368" s="18"/>
      <c r="F368" s="18">
        <v>15</v>
      </c>
      <c r="G368" s="18">
        <v>20</v>
      </c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15"/>
      <c r="AB368" t="s">
        <v>30</v>
      </c>
      <c r="AE368" t="s">
        <v>1175</v>
      </c>
      <c r="AG368" t="s">
        <v>1175</v>
      </c>
    </row>
    <row r="369" spans="1:33" x14ac:dyDescent="0.25">
      <c r="A369" s="13" t="s">
        <v>1112</v>
      </c>
      <c r="B369" s="14" t="s">
        <v>1113</v>
      </c>
      <c r="C369" s="14" t="s">
        <v>90</v>
      </c>
      <c r="D369" s="10"/>
      <c r="E369" s="10"/>
      <c r="F369" s="10">
        <v>15</v>
      </c>
      <c r="G369" s="10">
        <v>20</v>
      </c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15"/>
      <c r="AB369" t="s">
        <v>30</v>
      </c>
      <c r="AE369" t="s">
        <v>1176</v>
      </c>
      <c r="AG369" t="s">
        <v>1176</v>
      </c>
    </row>
    <row r="370" spans="1:33" x14ac:dyDescent="0.25">
      <c r="A370" s="16" t="s">
        <v>1114</v>
      </c>
      <c r="B370" s="17" t="s">
        <v>1115</v>
      </c>
      <c r="C370" s="17" t="s">
        <v>90</v>
      </c>
      <c r="D370" s="18"/>
      <c r="E370" s="18"/>
      <c r="F370" s="18">
        <v>15</v>
      </c>
      <c r="G370" s="18">
        <v>20</v>
      </c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15"/>
      <c r="AB370" t="s">
        <v>30</v>
      </c>
      <c r="AE370" t="s">
        <v>1177</v>
      </c>
      <c r="AG370" t="s">
        <v>1177</v>
      </c>
    </row>
    <row r="371" spans="1:33" x14ac:dyDescent="0.25">
      <c r="A371" s="13" t="s">
        <v>1116</v>
      </c>
      <c r="B371" s="14" t="s">
        <v>95</v>
      </c>
      <c r="C371" s="14" t="s">
        <v>41</v>
      </c>
      <c r="D371" s="10"/>
      <c r="E371" s="10"/>
      <c r="F371" s="10">
        <v>15</v>
      </c>
      <c r="G371" s="10">
        <v>20</v>
      </c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15"/>
      <c r="AB371" t="s">
        <v>30</v>
      </c>
      <c r="AC371" t="s">
        <v>1187</v>
      </c>
      <c r="AD371">
        <v>1600</v>
      </c>
      <c r="AE371" t="s">
        <v>1178</v>
      </c>
      <c r="AG371" t="s">
        <v>1178</v>
      </c>
    </row>
    <row r="372" spans="1:33" x14ac:dyDescent="0.25">
      <c r="A372" s="16" t="s">
        <v>1117</v>
      </c>
      <c r="B372" s="17" t="s">
        <v>1118</v>
      </c>
      <c r="C372" s="19"/>
      <c r="D372" s="18"/>
      <c r="E372" s="18"/>
      <c r="F372" s="18"/>
      <c r="G372" s="18">
        <v>20</v>
      </c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15"/>
      <c r="AB372" t="s">
        <v>30</v>
      </c>
      <c r="AC372" t="s">
        <v>1187</v>
      </c>
      <c r="AD372">
        <v>16.3</v>
      </c>
      <c r="AE372" t="s">
        <v>1179</v>
      </c>
      <c r="AG372" t="s">
        <v>1179</v>
      </c>
    </row>
    <row r="373" spans="1:33" x14ac:dyDescent="0.25">
      <c r="A373" s="13" t="s">
        <v>1119</v>
      </c>
      <c r="B373" s="14" t="s">
        <v>1120</v>
      </c>
      <c r="C373" s="14" t="s">
        <v>1038</v>
      </c>
      <c r="D373" s="10"/>
      <c r="E373" s="10"/>
      <c r="F373" s="10">
        <v>10</v>
      </c>
      <c r="G373" s="10">
        <v>20</v>
      </c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15"/>
      <c r="AB373" t="s">
        <v>30</v>
      </c>
      <c r="AE373" t="s">
        <v>1180</v>
      </c>
      <c r="AG373" t="s">
        <v>1180</v>
      </c>
    </row>
    <row r="374" spans="1:33" x14ac:dyDescent="0.25">
      <c r="A374" s="16" t="s">
        <v>1121</v>
      </c>
      <c r="B374" s="17" t="s">
        <v>167</v>
      </c>
      <c r="C374" s="17" t="s">
        <v>45</v>
      </c>
      <c r="D374" s="18"/>
      <c r="E374" s="18"/>
      <c r="F374" s="18">
        <v>0</v>
      </c>
      <c r="G374" s="18">
        <v>20</v>
      </c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15"/>
      <c r="AB374" t="s">
        <v>30</v>
      </c>
      <c r="AC374" t="s">
        <v>1187</v>
      </c>
      <c r="AE374" t="s">
        <v>1181</v>
      </c>
      <c r="AF374">
        <v>99.33</v>
      </c>
      <c r="AG374" t="s">
        <v>1181</v>
      </c>
    </row>
    <row r="375" spans="1:33" x14ac:dyDescent="0.25">
      <c r="A375" s="13" t="s">
        <v>1122</v>
      </c>
      <c r="B375" s="14" t="s">
        <v>1123</v>
      </c>
      <c r="C375" s="14" t="s">
        <v>45</v>
      </c>
      <c r="D375" s="10"/>
      <c r="E375" s="10"/>
      <c r="F375" s="10">
        <v>0</v>
      </c>
      <c r="G375" s="10">
        <v>20</v>
      </c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15"/>
      <c r="AB375" t="s">
        <v>30</v>
      </c>
      <c r="AC375" t="s">
        <v>1187</v>
      </c>
      <c r="AE375" t="s">
        <v>1182</v>
      </c>
      <c r="AF375">
        <v>175.44</v>
      </c>
      <c r="AG375" t="s">
        <v>1182</v>
      </c>
    </row>
    <row r="376" spans="1:33" x14ac:dyDescent="0.25">
      <c r="A376" s="16" t="s">
        <v>1124</v>
      </c>
      <c r="B376" s="17" t="s">
        <v>1125</v>
      </c>
      <c r="C376" s="17" t="s">
        <v>170</v>
      </c>
      <c r="D376" s="18"/>
      <c r="E376" s="18"/>
      <c r="F376" s="18">
        <v>0</v>
      </c>
      <c r="G376" s="18">
        <v>20</v>
      </c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15"/>
      <c r="AB376" t="s">
        <v>30</v>
      </c>
      <c r="AE376" t="s">
        <v>1183</v>
      </c>
      <c r="AG376" t="s">
        <v>1183</v>
      </c>
    </row>
    <row r="377" spans="1:33" x14ac:dyDescent="0.25">
      <c r="A377" s="13" t="s">
        <v>1126</v>
      </c>
      <c r="B377" s="14" t="s">
        <v>1127</v>
      </c>
      <c r="C377" s="14" t="s">
        <v>125</v>
      </c>
      <c r="D377" s="10"/>
      <c r="E377" s="10"/>
      <c r="F377" s="10">
        <v>0</v>
      </c>
      <c r="G377" s="10">
        <v>20</v>
      </c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15"/>
      <c r="AB377" t="s">
        <v>30</v>
      </c>
      <c r="AE377" t="s">
        <v>1184</v>
      </c>
      <c r="AG377" t="s">
        <v>1184</v>
      </c>
    </row>
    <row r="378" spans="1:33" x14ac:dyDescent="0.25">
      <c r="A378" s="16" t="s">
        <v>1128</v>
      </c>
      <c r="B378" s="17" t="s">
        <v>1129</v>
      </c>
      <c r="C378" s="17" t="s">
        <v>80</v>
      </c>
      <c r="D378" s="18"/>
      <c r="E378" s="18"/>
      <c r="F378" s="18">
        <v>8</v>
      </c>
      <c r="G378" s="18">
        <v>20</v>
      </c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15"/>
      <c r="AB378" t="s">
        <v>30</v>
      </c>
      <c r="AC378" t="s">
        <v>1187</v>
      </c>
      <c r="AE378" t="s">
        <v>1185</v>
      </c>
      <c r="AG378" t="s">
        <v>1185</v>
      </c>
    </row>
    <row r="379" spans="1:33" x14ac:dyDescent="0.25">
      <c r="A379" s="13" t="s">
        <v>1130</v>
      </c>
      <c r="B379" s="14" t="s">
        <v>1131</v>
      </c>
      <c r="C379" s="14" t="s">
        <v>80</v>
      </c>
      <c r="D379" s="10"/>
      <c r="E379" s="10"/>
      <c r="F379" s="10">
        <v>8</v>
      </c>
      <c r="G379" s="10">
        <v>20</v>
      </c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15"/>
      <c r="AB379" t="s">
        <v>30</v>
      </c>
      <c r="AE379" t="s">
        <v>1186</v>
      </c>
      <c r="AG379" t="s">
        <v>1186</v>
      </c>
    </row>
    <row r="380" spans="1:33" ht="8.1" customHeight="1" thickBot="1" x14ac:dyDescent="0.3"/>
    <row r="381" spans="1:33" x14ac:dyDescent="0.25">
      <c r="A381" s="30" t="s">
        <v>1188</v>
      </c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</row>
    <row r="382" spans="1:33" x14ac:dyDescent="0.25">
      <c r="A382" s="13" t="s">
        <v>1189</v>
      </c>
      <c r="B382" s="14" t="s">
        <v>353</v>
      </c>
      <c r="C382" s="14" t="s">
        <v>48</v>
      </c>
      <c r="D382" s="10">
        <v>79.38</v>
      </c>
      <c r="E382" s="10">
        <v>0.76400000000000001</v>
      </c>
      <c r="F382" s="10">
        <v>15</v>
      </c>
      <c r="G382" s="10">
        <v>20</v>
      </c>
      <c r="H382" s="8">
        <v>0.79379999999999995</v>
      </c>
      <c r="I382" s="8">
        <v>3.056</v>
      </c>
      <c r="J382" s="8">
        <v>83.229799999999997</v>
      </c>
      <c r="K382" s="8">
        <v>12.48447</v>
      </c>
      <c r="L382" s="8">
        <v>0.41614899999999999</v>
      </c>
      <c r="M382" s="8">
        <v>14.41956285</v>
      </c>
      <c r="N382" s="8">
        <v>27.320181850000001</v>
      </c>
      <c r="O382" s="8">
        <v>3.9689999999999999</v>
      </c>
      <c r="P382" s="8">
        <v>3.2508199999999996</v>
      </c>
      <c r="Q382" s="8">
        <v>8.7772139999999985E-2</v>
      </c>
      <c r="R382" s="8">
        <v>5.5263939999999998E-2</v>
      </c>
      <c r="S382" s="8">
        <v>0.75308571428571414</v>
      </c>
      <c r="T382" s="8">
        <v>4.1469417942857136</v>
      </c>
      <c r="U382" s="8">
        <v>114.8161236442857</v>
      </c>
      <c r="V382" s="8">
        <v>22.963224728857142</v>
      </c>
      <c r="W382" s="8">
        <v>14.41956285</v>
      </c>
      <c r="X382" s="15">
        <v>123.35978552314285</v>
      </c>
      <c r="AA382">
        <v>79.38</v>
      </c>
      <c r="AB382" t="s">
        <v>30</v>
      </c>
      <c r="AC382" t="s">
        <v>1407</v>
      </c>
      <c r="AD382">
        <v>108.1</v>
      </c>
      <c r="AE382" t="s">
        <v>1328</v>
      </c>
      <c r="AG382" t="s">
        <v>1328</v>
      </c>
    </row>
    <row r="383" spans="1:33" x14ac:dyDescent="0.25">
      <c r="A383" s="16" t="s">
        <v>1190</v>
      </c>
      <c r="B383" s="17" t="s">
        <v>354</v>
      </c>
      <c r="C383" s="17" t="s">
        <v>41</v>
      </c>
      <c r="D383" s="18">
        <v>64.08</v>
      </c>
      <c r="E383" s="18"/>
      <c r="F383" s="18">
        <v>15</v>
      </c>
      <c r="G383" s="18">
        <v>20</v>
      </c>
      <c r="H383" s="8">
        <v>0.64080000000000004</v>
      </c>
      <c r="I383" s="8"/>
      <c r="J383" s="8"/>
      <c r="K383" s="8"/>
      <c r="L383" s="8"/>
      <c r="M383" s="8"/>
      <c r="N383" s="8"/>
      <c r="O383" s="8">
        <v>3.2040000000000002</v>
      </c>
      <c r="P383" s="8"/>
      <c r="Q383" s="8"/>
      <c r="R383" s="8"/>
      <c r="S383" s="8"/>
      <c r="T383" s="8"/>
      <c r="U383" s="8"/>
      <c r="V383" s="8"/>
      <c r="W383" s="8"/>
      <c r="X383" s="15"/>
      <c r="AB383" t="s">
        <v>30</v>
      </c>
      <c r="AE383" t="s">
        <v>1329</v>
      </c>
      <c r="AF383">
        <v>64.08</v>
      </c>
      <c r="AG383" t="s">
        <v>1329</v>
      </c>
    </row>
    <row r="384" spans="1:33" x14ac:dyDescent="0.25">
      <c r="A384" s="13" t="s">
        <v>1191</v>
      </c>
      <c r="B384" s="14" t="s">
        <v>355</v>
      </c>
      <c r="C384" s="14" t="s">
        <v>41</v>
      </c>
      <c r="D384" s="10">
        <v>53.37</v>
      </c>
      <c r="E384" s="10">
        <v>0.90600000000000003</v>
      </c>
      <c r="F384" s="10">
        <v>15</v>
      </c>
      <c r="G384" s="10">
        <v>20</v>
      </c>
      <c r="H384" s="8">
        <v>0.53369999999999995</v>
      </c>
      <c r="I384" s="8">
        <v>3.6240000000000001</v>
      </c>
      <c r="J384" s="8">
        <v>57.527700000000003</v>
      </c>
      <c r="K384" s="8">
        <v>8.6291550000000008</v>
      </c>
      <c r="L384" s="8">
        <v>0.28763850000000002</v>
      </c>
      <c r="M384" s="8">
        <v>9.9666740250000014</v>
      </c>
      <c r="N384" s="8">
        <v>18.883467525</v>
      </c>
      <c r="O384" s="8">
        <v>2.6684999999999999</v>
      </c>
      <c r="P384" s="8">
        <v>3.8550300000000002</v>
      </c>
      <c r="Q384" s="8">
        <v>0.10408581</v>
      </c>
      <c r="R384" s="8">
        <v>6.5535510000000005E-2</v>
      </c>
      <c r="S384" s="8">
        <v>0.89305714285714277</v>
      </c>
      <c r="T384" s="8">
        <v>4.917708462857143</v>
      </c>
      <c r="U384" s="8">
        <v>79.839675987857149</v>
      </c>
      <c r="V384" s="8">
        <v>15.96793519757143</v>
      </c>
      <c r="W384" s="8">
        <v>9.9666740250000014</v>
      </c>
      <c r="X384" s="15">
        <v>85.840937160428581</v>
      </c>
      <c r="AA384">
        <v>99.52</v>
      </c>
      <c r="AB384" t="s">
        <v>30</v>
      </c>
      <c r="AC384" t="s">
        <v>1408</v>
      </c>
      <c r="AE384" t="s">
        <v>418</v>
      </c>
      <c r="AF384">
        <v>53.37</v>
      </c>
      <c r="AG384" t="s">
        <v>418</v>
      </c>
    </row>
    <row r="385" spans="1:33" x14ac:dyDescent="0.25">
      <c r="A385" s="16" t="s">
        <v>1192</v>
      </c>
      <c r="B385" s="17" t="s">
        <v>356</v>
      </c>
      <c r="C385" s="17" t="s">
        <v>357</v>
      </c>
      <c r="D385" s="18">
        <v>79.58</v>
      </c>
      <c r="E385" s="18"/>
      <c r="F385" s="18">
        <v>0</v>
      </c>
      <c r="G385" s="18">
        <v>20</v>
      </c>
      <c r="H385" s="8">
        <v>0.79579999999999995</v>
      </c>
      <c r="I385" s="8"/>
      <c r="J385" s="8"/>
      <c r="K385" s="8"/>
      <c r="L385" s="8"/>
      <c r="M385" s="8"/>
      <c r="N385" s="8"/>
      <c r="O385" s="8">
        <v>3.9790000000000001</v>
      </c>
      <c r="P385" s="8"/>
      <c r="Q385" s="8"/>
      <c r="R385" s="8"/>
      <c r="S385" s="8"/>
      <c r="T385" s="8"/>
      <c r="U385" s="8"/>
      <c r="V385" s="8"/>
      <c r="W385" s="8"/>
      <c r="X385" s="15"/>
      <c r="AB385" t="s">
        <v>30</v>
      </c>
      <c r="AE385" t="s">
        <v>1330</v>
      </c>
      <c r="AF385">
        <v>79.58</v>
      </c>
      <c r="AG385" t="s">
        <v>1330</v>
      </c>
    </row>
    <row r="386" spans="1:33" x14ac:dyDescent="0.25">
      <c r="A386" s="13" t="s">
        <v>1193</v>
      </c>
      <c r="B386" s="14" t="s">
        <v>358</v>
      </c>
      <c r="C386" s="14" t="s">
        <v>41</v>
      </c>
      <c r="D386" s="10">
        <v>218.85</v>
      </c>
      <c r="E386" s="10">
        <v>2.7829999999999999</v>
      </c>
      <c r="F386" s="10">
        <v>15</v>
      </c>
      <c r="G386" s="10">
        <v>20</v>
      </c>
      <c r="H386" s="8">
        <v>2.1884999999999999</v>
      </c>
      <c r="I386" s="8">
        <v>11.132</v>
      </c>
      <c r="J386" s="8">
        <v>232.1705</v>
      </c>
      <c r="K386" s="8">
        <v>34.825575000000001</v>
      </c>
      <c r="L386" s="8">
        <v>1.1608525000000001</v>
      </c>
      <c r="M386" s="8">
        <v>40.223539124999995</v>
      </c>
      <c r="N386" s="8">
        <v>76.209966624999993</v>
      </c>
      <c r="O386" s="8">
        <v>10.942500000000001</v>
      </c>
      <c r="P386" s="8">
        <v>11.841664999999999</v>
      </c>
      <c r="Q386" s="8">
        <v>0.31972495499999998</v>
      </c>
      <c r="R386" s="8">
        <v>0.20130830499999999</v>
      </c>
      <c r="S386" s="8">
        <v>2.7432428571428566</v>
      </c>
      <c r="T386" s="8">
        <v>15.105941117142855</v>
      </c>
      <c r="U386" s="8">
        <v>321.10840774214284</v>
      </c>
      <c r="V386" s="8">
        <v>64.221681548428577</v>
      </c>
      <c r="W386" s="8">
        <v>40.223539124999995</v>
      </c>
      <c r="X386" s="15">
        <v>345.10655016557143</v>
      </c>
      <c r="AA386">
        <v>218.85</v>
      </c>
      <c r="AB386" t="s">
        <v>30</v>
      </c>
      <c r="AC386" t="s">
        <v>1409</v>
      </c>
      <c r="AD386">
        <v>234.08</v>
      </c>
      <c r="AE386" t="s">
        <v>420</v>
      </c>
      <c r="AF386">
        <v>171.71</v>
      </c>
      <c r="AG386" t="s">
        <v>420</v>
      </c>
    </row>
    <row r="387" spans="1:33" x14ac:dyDescent="0.25">
      <c r="A387" s="16" t="s">
        <v>1194</v>
      </c>
      <c r="B387" s="17" t="s">
        <v>1195</v>
      </c>
      <c r="C387" s="17" t="s">
        <v>1196</v>
      </c>
      <c r="D387" s="18">
        <v>35.92</v>
      </c>
      <c r="E387" s="18"/>
      <c r="F387" s="18">
        <v>0</v>
      </c>
      <c r="G387" s="18">
        <v>20</v>
      </c>
      <c r="H387" s="8">
        <v>0.35920000000000002</v>
      </c>
      <c r="I387" s="8"/>
      <c r="J387" s="8"/>
      <c r="K387" s="8"/>
      <c r="L387" s="8"/>
      <c r="M387" s="8"/>
      <c r="N387" s="8"/>
      <c r="O387" s="8">
        <v>1.7960000000000003</v>
      </c>
      <c r="P387" s="8"/>
      <c r="Q387" s="8"/>
      <c r="R387" s="8"/>
      <c r="S387" s="8"/>
      <c r="T387" s="8"/>
      <c r="U387" s="8"/>
      <c r="V387" s="8"/>
      <c r="W387" s="8"/>
      <c r="X387" s="15"/>
      <c r="AB387" t="s">
        <v>30</v>
      </c>
      <c r="AD387">
        <v>35.92</v>
      </c>
      <c r="AE387" t="s">
        <v>1331</v>
      </c>
      <c r="AG387" t="s">
        <v>1331</v>
      </c>
    </row>
    <row r="388" spans="1:33" x14ac:dyDescent="0.25">
      <c r="A388" s="13" t="s">
        <v>1197</v>
      </c>
      <c r="B388" s="14" t="s">
        <v>252</v>
      </c>
      <c r="C388" s="14" t="s">
        <v>253</v>
      </c>
      <c r="D388" s="10">
        <v>55.78</v>
      </c>
      <c r="E388" s="10">
        <v>0.39100000000000001</v>
      </c>
      <c r="F388" s="10">
        <v>0</v>
      </c>
      <c r="G388" s="10">
        <v>20</v>
      </c>
      <c r="H388" s="8">
        <v>0.55780000000000007</v>
      </c>
      <c r="I388" s="8">
        <v>1.5640000000000001</v>
      </c>
      <c r="J388" s="8">
        <v>57.901800000000001</v>
      </c>
      <c r="K388" s="8">
        <v>0</v>
      </c>
      <c r="L388" s="8">
        <v>0.28950900000000002</v>
      </c>
      <c r="M388" s="8">
        <v>8.7286963499999999</v>
      </c>
      <c r="N388" s="8">
        <v>9.0182053500000006</v>
      </c>
      <c r="O388" s="8">
        <v>2.7890000000000001</v>
      </c>
      <c r="P388" s="8">
        <v>1.663705</v>
      </c>
      <c r="Q388" s="8">
        <v>4.4920034999999997E-2</v>
      </c>
      <c r="R388" s="8">
        <v>2.8282985000000004E-2</v>
      </c>
      <c r="S388" s="8">
        <v>0.38541428571428565</v>
      </c>
      <c r="T388" s="8">
        <v>2.1223223057142855</v>
      </c>
      <c r="U388" s="8">
        <v>69.709527655714297</v>
      </c>
      <c r="V388" s="8">
        <v>13.94190553114286</v>
      </c>
      <c r="W388" s="8">
        <v>8.7286963499999999</v>
      </c>
      <c r="X388" s="15">
        <v>74.922736836857155</v>
      </c>
      <c r="AA388">
        <v>55.78</v>
      </c>
      <c r="AB388" t="s">
        <v>30</v>
      </c>
      <c r="AC388" t="s">
        <v>1410</v>
      </c>
      <c r="AE388" t="s">
        <v>1332</v>
      </c>
      <c r="AF388">
        <v>14.59</v>
      </c>
      <c r="AG388" t="s">
        <v>1332</v>
      </c>
    </row>
    <row r="389" spans="1:33" x14ac:dyDescent="0.25">
      <c r="A389" s="16" t="s">
        <v>1198</v>
      </c>
      <c r="B389" s="17" t="s">
        <v>254</v>
      </c>
      <c r="C389" s="17" t="s">
        <v>253</v>
      </c>
      <c r="D389" s="18">
        <v>55.78</v>
      </c>
      <c r="E389" s="18">
        <v>0.39500000000000002</v>
      </c>
      <c r="F389" s="18">
        <v>0</v>
      </c>
      <c r="G389" s="18">
        <v>20</v>
      </c>
      <c r="H389" s="8">
        <v>0.55780000000000007</v>
      </c>
      <c r="I389" s="8">
        <v>1.58</v>
      </c>
      <c r="J389" s="8">
        <v>57.9178</v>
      </c>
      <c r="K389" s="8">
        <v>0</v>
      </c>
      <c r="L389" s="8">
        <v>0.28958899999999999</v>
      </c>
      <c r="M389" s="8">
        <v>8.7311083499999995</v>
      </c>
      <c r="N389" s="8">
        <v>9.0206973499999989</v>
      </c>
      <c r="O389" s="8">
        <v>2.7890000000000001</v>
      </c>
      <c r="P389" s="8">
        <v>1.6807250000000002</v>
      </c>
      <c r="Q389" s="8">
        <v>4.5379575000000005E-2</v>
      </c>
      <c r="R389" s="8">
        <v>2.8572325000000006E-2</v>
      </c>
      <c r="S389" s="8">
        <v>0.38935714285714285</v>
      </c>
      <c r="T389" s="8">
        <v>2.1440340428571432</v>
      </c>
      <c r="U389" s="8">
        <v>69.733731392857138</v>
      </c>
      <c r="V389" s="8">
        <v>13.946746278571428</v>
      </c>
      <c r="W389" s="8">
        <v>8.7311083499999995</v>
      </c>
      <c r="X389" s="15">
        <v>74.949369321428563</v>
      </c>
      <c r="AA389">
        <v>55.78</v>
      </c>
      <c r="AB389" t="s">
        <v>30</v>
      </c>
      <c r="AC389" t="s">
        <v>1411</v>
      </c>
      <c r="AE389" t="s">
        <v>1333</v>
      </c>
      <c r="AF389">
        <v>14.59</v>
      </c>
      <c r="AG389" t="s">
        <v>1333</v>
      </c>
    </row>
    <row r="390" spans="1:33" x14ac:dyDescent="0.25">
      <c r="A390" s="13" t="s">
        <v>1199</v>
      </c>
      <c r="B390" s="14" t="s">
        <v>1200</v>
      </c>
      <c r="C390" s="14" t="s">
        <v>536</v>
      </c>
      <c r="D390" s="10">
        <v>88.29</v>
      </c>
      <c r="E390" s="10"/>
      <c r="F390" s="10">
        <v>0</v>
      </c>
      <c r="G390" s="10">
        <v>20</v>
      </c>
      <c r="H390" s="8">
        <v>0.88290000000000013</v>
      </c>
      <c r="I390" s="8"/>
      <c r="J390" s="8"/>
      <c r="K390" s="8"/>
      <c r="L390" s="8"/>
      <c r="M390" s="8"/>
      <c r="N390" s="8"/>
      <c r="O390" s="8">
        <v>4.4145000000000003</v>
      </c>
      <c r="P390" s="8"/>
      <c r="Q390" s="8"/>
      <c r="R390" s="8"/>
      <c r="S390" s="8"/>
      <c r="T390" s="8"/>
      <c r="U390" s="8"/>
      <c r="V390" s="8"/>
      <c r="W390" s="8"/>
      <c r="X390" s="15"/>
      <c r="AB390" t="s">
        <v>30</v>
      </c>
      <c r="AD390">
        <v>88.29</v>
      </c>
      <c r="AE390" t="s">
        <v>1334</v>
      </c>
      <c r="AG390" t="s">
        <v>1334</v>
      </c>
    </row>
    <row r="391" spans="1:33" x14ac:dyDescent="0.25">
      <c r="A391" s="16" t="s">
        <v>1201</v>
      </c>
      <c r="B391" s="17" t="s">
        <v>1202</v>
      </c>
      <c r="C391" s="17" t="s">
        <v>47</v>
      </c>
      <c r="D391" s="18">
        <v>51.84</v>
      </c>
      <c r="E391" s="18">
        <v>0.09</v>
      </c>
      <c r="F391" s="18">
        <v>15</v>
      </c>
      <c r="G391" s="18">
        <v>20</v>
      </c>
      <c r="H391" s="8">
        <v>0.51840000000000008</v>
      </c>
      <c r="I391" s="8">
        <v>0.36</v>
      </c>
      <c r="J391" s="8">
        <v>52.718400000000003</v>
      </c>
      <c r="K391" s="8">
        <v>7.9077599999999997</v>
      </c>
      <c r="L391" s="8">
        <v>0.26359199999999999</v>
      </c>
      <c r="M391" s="8">
        <v>9.1334628000000002</v>
      </c>
      <c r="N391" s="8">
        <v>17.304814799999999</v>
      </c>
      <c r="O391" s="8">
        <v>2.5920000000000005</v>
      </c>
      <c r="P391" s="8">
        <v>0.38295000000000001</v>
      </c>
      <c r="Q391" s="8">
        <v>1.0339650000000001E-2</v>
      </c>
      <c r="R391" s="8">
        <v>6.510150000000001E-3</v>
      </c>
      <c r="S391" s="8">
        <v>8.8714285714285704E-2</v>
      </c>
      <c r="T391" s="8">
        <v>0.48851408571428567</v>
      </c>
      <c r="U391" s="8">
        <v>72.225328885714291</v>
      </c>
      <c r="V391" s="8">
        <v>14.445065777142858</v>
      </c>
      <c r="W391" s="8">
        <v>9.1334628000000002</v>
      </c>
      <c r="X391" s="15">
        <v>77.536931862857145</v>
      </c>
      <c r="AA391">
        <v>51.84</v>
      </c>
      <c r="AB391" t="s">
        <v>30</v>
      </c>
      <c r="AC391" t="s">
        <v>1412</v>
      </c>
      <c r="AD391">
        <v>44</v>
      </c>
      <c r="AE391" t="s">
        <v>1335</v>
      </c>
      <c r="AG391" t="s">
        <v>1335</v>
      </c>
    </row>
    <row r="392" spans="1:33" x14ac:dyDescent="0.25">
      <c r="A392" s="13" t="s">
        <v>1203</v>
      </c>
      <c r="B392" s="14" t="s">
        <v>1204</v>
      </c>
      <c r="C392" s="14" t="s">
        <v>201</v>
      </c>
      <c r="D392" s="10">
        <v>48.08</v>
      </c>
      <c r="E392" s="10">
        <v>0.08</v>
      </c>
      <c r="F392" s="10">
        <v>0</v>
      </c>
      <c r="G392" s="10">
        <v>20</v>
      </c>
      <c r="H392" s="8">
        <v>0.48080000000000001</v>
      </c>
      <c r="I392" s="8">
        <v>0.32</v>
      </c>
      <c r="J392" s="8">
        <v>48.880800000000001</v>
      </c>
      <c r="K392" s="8">
        <v>0</v>
      </c>
      <c r="L392" s="8">
        <v>0.24440400000000001</v>
      </c>
      <c r="M392" s="8">
        <v>7.3687806</v>
      </c>
      <c r="N392" s="8">
        <v>7.6131846000000003</v>
      </c>
      <c r="O392" s="8">
        <v>2.4039999999999999</v>
      </c>
      <c r="P392" s="8">
        <v>0.34040000000000004</v>
      </c>
      <c r="Q392" s="8">
        <v>9.1908000000000007E-3</v>
      </c>
      <c r="R392" s="8">
        <v>5.7868000000000008E-3</v>
      </c>
      <c r="S392" s="8">
        <v>7.8857142857142862E-2</v>
      </c>
      <c r="T392" s="8">
        <v>0.43423474285714286</v>
      </c>
      <c r="U392" s="8">
        <v>58.531419342857134</v>
      </c>
      <c r="V392" s="8">
        <v>11.706283868571427</v>
      </c>
      <c r="W392" s="8">
        <v>7.3687806</v>
      </c>
      <c r="X392" s="15">
        <v>62.868922611428566</v>
      </c>
      <c r="AA392">
        <v>48.08</v>
      </c>
      <c r="AB392" t="s">
        <v>30</v>
      </c>
      <c r="AC392" t="s">
        <v>1413</v>
      </c>
      <c r="AD392">
        <v>32.35</v>
      </c>
      <c r="AE392" t="s">
        <v>1336</v>
      </c>
      <c r="AF392">
        <v>31.67</v>
      </c>
      <c r="AG392" t="s">
        <v>1336</v>
      </c>
    </row>
    <row r="393" spans="1:33" x14ac:dyDescent="0.25">
      <c r="A393" s="16" t="s">
        <v>1205</v>
      </c>
      <c r="B393" s="17" t="s">
        <v>1206</v>
      </c>
      <c r="C393" s="17" t="s">
        <v>201</v>
      </c>
      <c r="D393" s="18">
        <v>50.87</v>
      </c>
      <c r="E393" s="18">
        <v>0.11799999999999999</v>
      </c>
      <c r="F393" s="18">
        <v>0</v>
      </c>
      <c r="G393" s="18">
        <v>20</v>
      </c>
      <c r="H393" s="8">
        <v>0.50869999999999993</v>
      </c>
      <c r="I393" s="8">
        <v>0.47199999999999998</v>
      </c>
      <c r="J393" s="8">
        <v>51.850699999999996</v>
      </c>
      <c r="K393" s="8">
        <v>0</v>
      </c>
      <c r="L393" s="8">
        <v>0.25925349999999997</v>
      </c>
      <c r="M393" s="8">
        <v>7.8164930249999989</v>
      </c>
      <c r="N393" s="8">
        <v>8.0757465249999996</v>
      </c>
      <c r="O393" s="8">
        <v>2.5434999999999999</v>
      </c>
      <c r="P393" s="8">
        <v>0.50208999999999993</v>
      </c>
      <c r="Q393" s="8">
        <v>1.3556429999999998E-2</v>
      </c>
      <c r="R393" s="8">
        <v>8.5355299999999995E-3</v>
      </c>
      <c r="S393" s="8">
        <v>0.11631428571428569</v>
      </c>
      <c r="T393" s="8">
        <v>0.64049624571428554</v>
      </c>
      <c r="U393" s="8">
        <v>62.129742770714287</v>
      </c>
      <c r="V393" s="8">
        <v>12.425948554142858</v>
      </c>
      <c r="W393" s="8">
        <v>7.8164930249999989</v>
      </c>
      <c r="X393" s="15">
        <v>66.739198299857151</v>
      </c>
      <c r="AA393">
        <v>50.87</v>
      </c>
      <c r="AB393" t="s">
        <v>30</v>
      </c>
      <c r="AC393" t="s">
        <v>1414</v>
      </c>
      <c r="AD393">
        <v>47.91</v>
      </c>
      <c r="AE393" t="s">
        <v>1337</v>
      </c>
      <c r="AF393">
        <v>84.75</v>
      </c>
      <c r="AG393" t="s">
        <v>1337</v>
      </c>
    </row>
    <row r="394" spans="1:33" x14ac:dyDescent="0.25">
      <c r="A394" s="13" t="s">
        <v>1207</v>
      </c>
      <c r="B394" s="14" t="s">
        <v>196</v>
      </c>
      <c r="C394" s="14" t="s">
        <v>47</v>
      </c>
      <c r="D394" s="10">
        <v>514.77</v>
      </c>
      <c r="E394" s="10">
        <v>18.446000000000002</v>
      </c>
      <c r="F394" s="10">
        <v>15</v>
      </c>
      <c r="G394" s="10">
        <v>20</v>
      </c>
      <c r="H394" s="8">
        <v>5.1476999999999995</v>
      </c>
      <c r="I394" s="8">
        <v>73.784000000000006</v>
      </c>
      <c r="J394" s="8">
        <v>593.70169999999996</v>
      </c>
      <c r="K394" s="8">
        <v>89.055254999999988</v>
      </c>
      <c r="L394" s="8">
        <v>2.9685085</v>
      </c>
      <c r="M394" s="8">
        <v>102.85881952499999</v>
      </c>
      <c r="N394" s="8">
        <v>194.88258302499997</v>
      </c>
      <c r="O394" s="8">
        <v>25.738500000000002</v>
      </c>
      <c r="P394" s="8">
        <v>78.487729999999999</v>
      </c>
      <c r="Q394" s="8">
        <v>2.1191687099999998</v>
      </c>
      <c r="R394" s="8">
        <v>1.3342914100000001</v>
      </c>
      <c r="S394" s="8">
        <v>18.182485714285715</v>
      </c>
      <c r="T394" s="8">
        <v>100.12367583428572</v>
      </c>
      <c r="U394" s="8">
        <v>835.51475885928562</v>
      </c>
      <c r="V394" s="8">
        <v>167.10295177185714</v>
      </c>
      <c r="W394" s="8">
        <v>102.85881952499999</v>
      </c>
      <c r="X394" s="15">
        <v>899.75889110614276</v>
      </c>
      <c r="AA394">
        <v>566.16</v>
      </c>
      <c r="AB394" t="s">
        <v>30</v>
      </c>
      <c r="AC394" t="s">
        <v>1415</v>
      </c>
      <c r="AD394">
        <v>1422.33</v>
      </c>
      <c r="AE394" t="s">
        <v>1338</v>
      </c>
      <c r="AF394">
        <v>514.77</v>
      </c>
      <c r="AG394" t="s">
        <v>1338</v>
      </c>
    </row>
    <row r="395" spans="1:33" x14ac:dyDescent="0.25">
      <c r="A395" s="16" t="s">
        <v>1208</v>
      </c>
      <c r="B395" s="17" t="s">
        <v>1209</v>
      </c>
      <c r="C395" s="19"/>
      <c r="D395" s="18">
        <v>338.17</v>
      </c>
      <c r="E395" s="18">
        <v>3.7</v>
      </c>
      <c r="F395" s="18"/>
      <c r="G395" s="18">
        <v>20</v>
      </c>
      <c r="H395" s="8">
        <v>3.3817000000000004</v>
      </c>
      <c r="I395" s="8">
        <v>14.8</v>
      </c>
      <c r="J395" s="8">
        <v>356.35170000000005</v>
      </c>
      <c r="K395" s="8">
        <v>0</v>
      </c>
      <c r="L395" s="8">
        <v>1.7817585000000002</v>
      </c>
      <c r="M395" s="8">
        <v>53.720018775000007</v>
      </c>
      <c r="N395" s="8">
        <v>55.501777275000009</v>
      </c>
      <c r="O395" s="8">
        <v>16.9085</v>
      </c>
      <c r="P395" s="8">
        <v>15.743500000000001</v>
      </c>
      <c r="Q395" s="8">
        <v>0.42507450000000002</v>
      </c>
      <c r="R395" s="8">
        <v>0.26763950000000003</v>
      </c>
      <c r="S395" s="8">
        <v>3.6471428571428568</v>
      </c>
      <c r="T395" s="8">
        <v>20.08335685714286</v>
      </c>
      <c r="U395" s="8">
        <v>430.66363413214287</v>
      </c>
      <c r="V395" s="8">
        <v>86.132726826428581</v>
      </c>
      <c r="W395" s="8">
        <v>53.720018775000007</v>
      </c>
      <c r="X395" s="15">
        <v>463.0763421835714</v>
      </c>
      <c r="AA395">
        <v>583.84</v>
      </c>
      <c r="AB395" t="s">
        <v>30</v>
      </c>
      <c r="AC395" t="s">
        <v>1416</v>
      </c>
      <c r="AD395">
        <v>552.97</v>
      </c>
      <c r="AE395" t="s">
        <v>1339</v>
      </c>
      <c r="AF395">
        <v>338.17</v>
      </c>
      <c r="AG395" t="s">
        <v>1339</v>
      </c>
    </row>
    <row r="396" spans="1:33" x14ac:dyDescent="0.25">
      <c r="A396" s="13" t="s">
        <v>1210</v>
      </c>
      <c r="B396" s="14" t="s">
        <v>1211</v>
      </c>
      <c r="C396" s="14" t="s">
        <v>274</v>
      </c>
      <c r="D396" s="10">
        <v>70.42</v>
      </c>
      <c r="E396" s="10">
        <v>1.32</v>
      </c>
      <c r="F396" s="10">
        <v>0</v>
      </c>
      <c r="G396" s="10">
        <v>20</v>
      </c>
      <c r="H396" s="8">
        <v>0.70420000000000005</v>
      </c>
      <c r="I396" s="8">
        <v>5.28</v>
      </c>
      <c r="J396" s="8">
        <v>76.404200000000003</v>
      </c>
      <c r="K396" s="8">
        <v>0</v>
      </c>
      <c r="L396" s="8">
        <v>0.382021</v>
      </c>
      <c r="M396" s="8">
        <v>11.517933149999999</v>
      </c>
      <c r="N396" s="8">
        <v>11.899954149999999</v>
      </c>
      <c r="O396" s="8">
        <v>3.5210000000000004</v>
      </c>
      <c r="P396" s="8">
        <v>5.6166</v>
      </c>
      <c r="Q396" s="8">
        <v>0.15164820000000001</v>
      </c>
      <c r="R396" s="8">
        <v>9.5482200000000003E-2</v>
      </c>
      <c r="S396" s="8">
        <v>1.3011428571428572</v>
      </c>
      <c r="T396" s="8">
        <v>7.1648732571428582</v>
      </c>
      <c r="U396" s="8">
        <v>93.00582740714286</v>
      </c>
      <c r="V396" s="8">
        <v>18.601165481428573</v>
      </c>
      <c r="W396" s="8">
        <v>11.517933149999999</v>
      </c>
      <c r="X396" s="15">
        <v>100.08905973857142</v>
      </c>
      <c r="AA396">
        <v>70.42</v>
      </c>
      <c r="AB396" t="s">
        <v>30</v>
      </c>
      <c r="AC396" t="s">
        <v>1417</v>
      </c>
      <c r="AD396">
        <v>82.38</v>
      </c>
      <c r="AE396" t="s">
        <v>1340</v>
      </c>
      <c r="AF396">
        <v>49.08</v>
      </c>
      <c r="AG396" t="s">
        <v>1340</v>
      </c>
    </row>
    <row r="397" spans="1:33" x14ac:dyDescent="0.25">
      <c r="A397" s="16" t="s">
        <v>1212</v>
      </c>
      <c r="B397" s="17" t="s">
        <v>1213</v>
      </c>
      <c r="C397" s="17" t="s">
        <v>201</v>
      </c>
      <c r="D397" s="18">
        <v>57.78</v>
      </c>
      <c r="E397" s="18">
        <v>0.19500000000000001</v>
      </c>
      <c r="F397" s="18">
        <v>0</v>
      </c>
      <c r="G397" s="18">
        <v>20</v>
      </c>
      <c r="H397" s="8">
        <v>0.57779999999999998</v>
      </c>
      <c r="I397" s="8">
        <v>0.78</v>
      </c>
      <c r="J397" s="8">
        <v>59.137800000000006</v>
      </c>
      <c r="K397" s="8">
        <v>0</v>
      </c>
      <c r="L397" s="8">
        <v>0.29568900000000004</v>
      </c>
      <c r="M397" s="8">
        <v>8.9150233500000002</v>
      </c>
      <c r="N397" s="8">
        <v>9.2107123499999997</v>
      </c>
      <c r="O397" s="8">
        <v>2.8890000000000002</v>
      </c>
      <c r="P397" s="8">
        <v>0.82972499999999993</v>
      </c>
      <c r="Q397" s="8">
        <v>2.2402574999999997E-2</v>
      </c>
      <c r="R397" s="8">
        <v>1.4105325E-2</v>
      </c>
      <c r="S397" s="8">
        <v>0.1922142857142857</v>
      </c>
      <c r="T397" s="8">
        <v>1.0584471857142856</v>
      </c>
      <c r="U397" s="8">
        <v>70.938159535714291</v>
      </c>
      <c r="V397" s="8">
        <v>14.187631907142858</v>
      </c>
      <c r="W397" s="8">
        <v>8.9150233500000002</v>
      </c>
      <c r="X397" s="15">
        <v>76.210768092857151</v>
      </c>
      <c r="AA397">
        <v>56.29</v>
      </c>
      <c r="AB397" t="s">
        <v>30</v>
      </c>
      <c r="AC397" t="s">
        <v>1418</v>
      </c>
      <c r="AD397">
        <v>87.83</v>
      </c>
      <c r="AE397" t="s">
        <v>1341</v>
      </c>
      <c r="AF397">
        <v>57.78</v>
      </c>
      <c r="AG397" t="s">
        <v>1341</v>
      </c>
    </row>
    <row r="398" spans="1:33" x14ac:dyDescent="0.25">
      <c r="A398" s="13" t="s">
        <v>1214</v>
      </c>
      <c r="B398" s="14" t="s">
        <v>624</v>
      </c>
      <c r="C398" s="14" t="s">
        <v>201</v>
      </c>
      <c r="D398" s="10">
        <v>58.03</v>
      </c>
      <c r="E398" s="10">
        <v>0.11799999999999999</v>
      </c>
      <c r="F398" s="10">
        <v>0</v>
      </c>
      <c r="G398" s="10">
        <v>20</v>
      </c>
      <c r="H398" s="8">
        <v>0.58030000000000004</v>
      </c>
      <c r="I398" s="8">
        <v>0.47199999999999998</v>
      </c>
      <c r="J398" s="8">
        <v>59.082300000000004</v>
      </c>
      <c r="K398" s="8">
        <v>0</v>
      </c>
      <c r="L398" s="8">
        <v>0.29541150000000005</v>
      </c>
      <c r="M398" s="8">
        <v>8.9066567249999995</v>
      </c>
      <c r="N398" s="8">
        <v>9.2020682249999997</v>
      </c>
      <c r="O398" s="8">
        <v>2.9015000000000004</v>
      </c>
      <c r="P398" s="8">
        <v>0.50208999999999993</v>
      </c>
      <c r="Q398" s="8">
        <v>1.3556429999999998E-2</v>
      </c>
      <c r="R398" s="8">
        <v>8.5355299999999995E-3</v>
      </c>
      <c r="S398" s="8">
        <v>0.11631428571428569</v>
      </c>
      <c r="T398" s="8">
        <v>0.64049624571428554</v>
      </c>
      <c r="U398" s="8">
        <v>70.774064470714293</v>
      </c>
      <c r="V398" s="8">
        <v>14.154812894142859</v>
      </c>
      <c r="W398" s="8">
        <v>8.9066567249999995</v>
      </c>
      <c r="X398" s="15">
        <v>76.022220639857153</v>
      </c>
      <c r="AA398">
        <v>117.67</v>
      </c>
      <c r="AB398" t="s">
        <v>30</v>
      </c>
      <c r="AC398" t="s">
        <v>1419</v>
      </c>
      <c r="AD398">
        <v>78.180000000000007</v>
      </c>
      <c r="AE398" t="s">
        <v>1342</v>
      </c>
      <c r="AF398">
        <v>58.03</v>
      </c>
      <c r="AG398" t="s">
        <v>1342</v>
      </c>
    </row>
    <row r="399" spans="1:33" x14ac:dyDescent="0.25">
      <c r="A399" s="16" t="s">
        <v>1215</v>
      </c>
      <c r="B399" s="17" t="s">
        <v>1216</v>
      </c>
      <c r="C399" s="19"/>
      <c r="D399" s="18">
        <v>27.49</v>
      </c>
      <c r="E399" s="18"/>
      <c r="F399" s="18"/>
      <c r="G399" s="18">
        <v>20</v>
      </c>
      <c r="H399" s="8">
        <v>0.27489999999999998</v>
      </c>
      <c r="I399" s="8"/>
      <c r="J399" s="8"/>
      <c r="K399" s="8"/>
      <c r="L399" s="8"/>
      <c r="M399" s="8"/>
      <c r="N399" s="8"/>
      <c r="O399" s="8">
        <v>1.3745000000000001</v>
      </c>
      <c r="P399" s="8"/>
      <c r="Q399" s="8"/>
      <c r="R399" s="8"/>
      <c r="S399" s="8"/>
      <c r="T399" s="8"/>
      <c r="U399" s="8"/>
      <c r="V399" s="8"/>
      <c r="W399" s="8"/>
      <c r="X399" s="15"/>
      <c r="AB399" t="s">
        <v>30</v>
      </c>
      <c r="AE399" t="s">
        <v>1343</v>
      </c>
      <c r="AF399">
        <v>27.49</v>
      </c>
      <c r="AG399" t="s">
        <v>1343</v>
      </c>
    </row>
    <row r="400" spans="1:33" x14ac:dyDescent="0.25">
      <c r="A400" s="13" t="s">
        <v>1217</v>
      </c>
      <c r="B400" s="14" t="s">
        <v>679</v>
      </c>
      <c r="C400" s="19"/>
      <c r="D400" s="10">
        <v>31.3</v>
      </c>
      <c r="E400" s="10">
        <v>9.5000000000000001E-2</v>
      </c>
      <c r="F400" s="10"/>
      <c r="G400" s="10">
        <v>20</v>
      </c>
      <c r="H400" s="8">
        <v>0.313</v>
      </c>
      <c r="I400" s="8">
        <v>0.38</v>
      </c>
      <c r="J400" s="8">
        <v>31.992999999999999</v>
      </c>
      <c r="K400" s="8">
        <v>0</v>
      </c>
      <c r="L400" s="8">
        <v>0.159965</v>
      </c>
      <c r="M400" s="8">
        <v>4.8229447500000004</v>
      </c>
      <c r="N400" s="8">
        <v>4.9829097500000001</v>
      </c>
      <c r="O400" s="8">
        <v>1.5650000000000002</v>
      </c>
      <c r="P400" s="8">
        <v>0.404225</v>
      </c>
      <c r="Q400" s="8">
        <v>1.0914075000000001E-2</v>
      </c>
      <c r="R400" s="8">
        <v>6.8718250000000007E-3</v>
      </c>
      <c r="S400" s="8">
        <v>9.3642857142857125E-2</v>
      </c>
      <c r="T400" s="8">
        <v>0.51565375714285711</v>
      </c>
      <c r="U400" s="8">
        <v>38.363563507142857</v>
      </c>
      <c r="V400" s="8">
        <v>7.6727127014285719</v>
      </c>
      <c r="W400" s="8">
        <v>4.8229447500000004</v>
      </c>
      <c r="X400" s="15">
        <v>41.213331458571432</v>
      </c>
      <c r="AA400">
        <v>201.17</v>
      </c>
      <c r="AB400" t="s">
        <v>30</v>
      </c>
      <c r="AC400" t="s">
        <v>1420</v>
      </c>
      <c r="AE400" t="s">
        <v>1344</v>
      </c>
      <c r="AF400">
        <v>31.3</v>
      </c>
      <c r="AG400" t="s">
        <v>1344</v>
      </c>
    </row>
    <row r="401" spans="1:33" x14ac:dyDescent="0.25">
      <c r="A401" s="16" t="s">
        <v>1218</v>
      </c>
      <c r="B401" s="17" t="s">
        <v>1219</v>
      </c>
      <c r="C401" s="17" t="s">
        <v>268</v>
      </c>
      <c r="D401" s="18">
        <v>0</v>
      </c>
      <c r="E401" s="18"/>
      <c r="F401" s="18">
        <v>5</v>
      </c>
      <c r="G401" s="18">
        <v>20</v>
      </c>
      <c r="H401" s="8">
        <v>0</v>
      </c>
      <c r="I401" s="8"/>
      <c r="J401" s="8"/>
      <c r="K401" s="8"/>
      <c r="L401" s="8"/>
      <c r="M401" s="8"/>
      <c r="N401" s="8"/>
      <c r="O401" s="8">
        <v>0</v>
      </c>
      <c r="P401" s="8"/>
      <c r="Q401" s="8"/>
      <c r="R401" s="8"/>
      <c r="S401" s="8"/>
      <c r="T401" s="8"/>
      <c r="U401" s="8"/>
      <c r="V401" s="8"/>
      <c r="W401" s="8"/>
      <c r="X401" s="15"/>
      <c r="AB401" t="s">
        <v>30</v>
      </c>
      <c r="AE401" t="s">
        <v>1345</v>
      </c>
      <c r="AF401">
        <v>31.59</v>
      </c>
      <c r="AG401" t="s">
        <v>1345</v>
      </c>
    </row>
    <row r="402" spans="1:33" x14ac:dyDescent="0.25">
      <c r="A402" s="13" t="s">
        <v>1220</v>
      </c>
      <c r="B402" s="14" t="s">
        <v>1221</v>
      </c>
      <c r="C402" s="19"/>
      <c r="D402" s="10">
        <v>0</v>
      </c>
      <c r="E402" s="10"/>
      <c r="F402" s="10"/>
      <c r="G402" s="10">
        <v>20</v>
      </c>
      <c r="H402" s="8">
        <v>0</v>
      </c>
      <c r="I402" s="8"/>
      <c r="J402" s="8"/>
      <c r="K402" s="8"/>
      <c r="L402" s="8"/>
      <c r="M402" s="8"/>
      <c r="N402" s="8"/>
      <c r="O402" s="8">
        <v>0</v>
      </c>
      <c r="P402" s="8"/>
      <c r="Q402" s="8"/>
      <c r="R402" s="8"/>
      <c r="S402" s="8"/>
      <c r="T402" s="8"/>
      <c r="U402" s="8"/>
      <c r="V402" s="8"/>
      <c r="W402" s="8"/>
      <c r="X402" s="15"/>
      <c r="AB402" t="s">
        <v>30</v>
      </c>
      <c r="AE402" t="s">
        <v>1346</v>
      </c>
      <c r="AG402" t="s">
        <v>1346</v>
      </c>
    </row>
    <row r="403" spans="1:33" x14ac:dyDescent="0.25">
      <c r="A403" s="16" t="s">
        <v>1222</v>
      </c>
      <c r="B403" s="17" t="s">
        <v>1223</v>
      </c>
      <c r="C403" s="19"/>
      <c r="D403" s="18">
        <v>71.239999999999995</v>
      </c>
      <c r="E403" s="18">
        <v>6.7000000000000004E-2</v>
      </c>
      <c r="F403" s="18"/>
      <c r="G403" s="18">
        <v>20</v>
      </c>
      <c r="H403" s="8">
        <v>0.71239999999999992</v>
      </c>
      <c r="I403" s="8">
        <v>0.26800000000000002</v>
      </c>
      <c r="J403" s="8">
        <v>72.220399999999998</v>
      </c>
      <c r="K403" s="8">
        <v>0</v>
      </c>
      <c r="L403" s="8">
        <v>0.36110199999999998</v>
      </c>
      <c r="M403" s="8">
        <v>10.887225299999999</v>
      </c>
      <c r="N403" s="8">
        <v>11.2483273</v>
      </c>
      <c r="O403" s="8">
        <v>3.5619999999999998</v>
      </c>
      <c r="P403" s="8">
        <v>0.28508500000000003</v>
      </c>
      <c r="Q403" s="8">
        <v>7.6972950000000007E-3</v>
      </c>
      <c r="R403" s="8">
        <v>4.8464450000000013E-3</v>
      </c>
      <c r="S403" s="8">
        <v>6.6042857142857139E-2</v>
      </c>
      <c r="T403" s="8">
        <v>0.36367159714285713</v>
      </c>
      <c r="U403" s="8">
        <v>86.413998897142847</v>
      </c>
      <c r="V403" s="8">
        <v>17.282799779428569</v>
      </c>
      <c r="W403" s="8">
        <v>10.887225299999999</v>
      </c>
      <c r="X403" s="15">
        <v>92.809573376571421</v>
      </c>
      <c r="AA403">
        <v>414.14</v>
      </c>
      <c r="AB403" t="s">
        <v>30</v>
      </c>
      <c r="AC403" t="s">
        <v>1421</v>
      </c>
      <c r="AD403">
        <v>40.06</v>
      </c>
      <c r="AE403" t="s">
        <v>1347</v>
      </c>
      <c r="AF403">
        <v>71.239999999999995</v>
      </c>
      <c r="AG403" t="s">
        <v>1347</v>
      </c>
    </row>
    <row r="404" spans="1:33" x14ac:dyDescent="0.25">
      <c r="A404" s="13" t="s">
        <v>1224</v>
      </c>
      <c r="B404" s="14" t="s">
        <v>727</v>
      </c>
      <c r="C404" s="14" t="s">
        <v>125</v>
      </c>
      <c r="D404" s="10">
        <v>20.5</v>
      </c>
      <c r="E404" s="10">
        <v>0.22900000000000001</v>
      </c>
      <c r="F404" s="10">
        <v>0</v>
      </c>
      <c r="G404" s="10">
        <v>20</v>
      </c>
      <c r="H404" s="8">
        <v>0.20500000000000002</v>
      </c>
      <c r="I404" s="8">
        <v>0.91600000000000004</v>
      </c>
      <c r="J404" s="8">
        <v>21.620999999999999</v>
      </c>
      <c r="K404" s="8">
        <v>0</v>
      </c>
      <c r="L404" s="8">
        <v>0.10810499999999999</v>
      </c>
      <c r="M404" s="8">
        <v>3.2593657499999993</v>
      </c>
      <c r="N404" s="8">
        <v>3.3674707499999994</v>
      </c>
      <c r="O404" s="8">
        <v>1.0250000000000001</v>
      </c>
      <c r="P404" s="8">
        <v>0.97439500000000001</v>
      </c>
      <c r="Q404" s="8">
        <v>2.6308664999999998E-2</v>
      </c>
      <c r="R404" s="8">
        <v>1.6564715000000001E-2</v>
      </c>
      <c r="S404" s="8">
        <v>0.22572857142857142</v>
      </c>
      <c r="T404" s="8">
        <v>1.2429969514285715</v>
      </c>
      <c r="U404" s="8">
        <v>26.135467701428571</v>
      </c>
      <c r="V404" s="8">
        <v>5.2270935402857148</v>
      </c>
      <c r="W404" s="8">
        <v>3.2593657499999993</v>
      </c>
      <c r="X404" s="15">
        <v>28.103195491714285</v>
      </c>
      <c r="AA404">
        <v>286.79000000000002</v>
      </c>
      <c r="AB404" t="s">
        <v>30</v>
      </c>
      <c r="AC404" t="s">
        <v>1422</v>
      </c>
      <c r="AE404" t="s">
        <v>1348</v>
      </c>
      <c r="AF404">
        <v>20.5</v>
      </c>
      <c r="AG404" t="s">
        <v>1348</v>
      </c>
    </row>
    <row r="405" spans="1:33" x14ac:dyDescent="0.25">
      <c r="A405" s="16" t="s">
        <v>1225</v>
      </c>
      <c r="B405" s="17" t="s">
        <v>626</v>
      </c>
      <c r="C405" s="17" t="s">
        <v>125</v>
      </c>
      <c r="D405" s="18">
        <v>27.99</v>
      </c>
      <c r="E405" s="18">
        <v>0.20799999999999999</v>
      </c>
      <c r="F405" s="18">
        <v>0</v>
      </c>
      <c r="G405" s="18">
        <v>20</v>
      </c>
      <c r="H405" s="8">
        <v>0.27989999999999998</v>
      </c>
      <c r="I405" s="8">
        <v>0.83199999999999996</v>
      </c>
      <c r="J405" s="8">
        <v>29.101900000000001</v>
      </c>
      <c r="K405" s="8">
        <v>0</v>
      </c>
      <c r="L405" s="8">
        <v>0.14550950000000001</v>
      </c>
      <c r="M405" s="8">
        <v>4.3871114249999996</v>
      </c>
      <c r="N405" s="8">
        <v>4.5326209249999998</v>
      </c>
      <c r="O405" s="8">
        <v>1.3995</v>
      </c>
      <c r="P405" s="8">
        <v>0.88503999999999983</v>
      </c>
      <c r="Q405" s="8">
        <v>2.3896079999999997E-2</v>
      </c>
      <c r="R405" s="8">
        <v>1.5045679999999999E-2</v>
      </c>
      <c r="S405" s="8">
        <v>0.20502857142857139</v>
      </c>
      <c r="T405" s="8">
        <v>1.1290103314285711</v>
      </c>
      <c r="U405" s="8">
        <v>35.051131256428576</v>
      </c>
      <c r="V405" s="8">
        <v>7.0102262512857152</v>
      </c>
      <c r="W405" s="8">
        <v>4.3871114249999996</v>
      </c>
      <c r="X405" s="15">
        <v>37.674246082714291</v>
      </c>
      <c r="AA405">
        <v>136.44999999999999</v>
      </c>
      <c r="AB405" t="s">
        <v>30</v>
      </c>
      <c r="AC405" t="s">
        <v>1423</v>
      </c>
      <c r="AD405">
        <v>146.84</v>
      </c>
      <c r="AE405" t="s">
        <v>1349</v>
      </c>
      <c r="AF405">
        <v>27.99</v>
      </c>
      <c r="AG405" t="s">
        <v>1349</v>
      </c>
    </row>
    <row r="406" spans="1:33" x14ac:dyDescent="0.25">
      <c r="A406" s="13" t="s">
        <v>1226</v>
      </c>
      <c r="B406" s="14" t="s">
        <v>211</v>
      </c>
      <c r="C406" s="14" t="s">
        <v>125</v>
      </c>
      <c r="D406" s="10">
        <v>1190.28</v>
      </c>
      <c r="E406" s="10">
        <v>5.0309999999999997</v>
      </c>
      <c r="F406" s="10">
        <v>0</v>
      </c>
      <c r="G406" s="10">
        <v>20</v>
      </c>
      <c r="H406" s="8">
        <v>11.902799999999999</v>
      </c>
      <c r="I406" s="8">
        <v>20.123999999999999</v>
      </c>
      <c r="J406" s="8">
        <v>1222.3068000000001</v>
      </c>
      <c r="K406" s="8">
        <v>0</v>
      </c>
      <c r="L406" s="8">
        <v>6.1115340000000007</v>
      </c>
      <c r="M406" s="8">
        <v>184.26275009999998</v>
      </c>
      <c r="N406" s="8">
        <v>190.37428409999998</v>
      </c>
      <c r="O406" s="8">
        <v>59.514000000000003</v>
      </c>
      <c r="P406" s="8">
        <v>21.406904999999998</v>
      </c>
      <c r="Q406" s="8">
        <v>0.57798643499999991</v>
      </c>
      <c r="R406" s="8">
        <v>0.36391738499999998</v>
      </c>
      <c r="S406" s="8">
        <v>4.95912857142857</v>
      </c>
      <c r="T406" s="8">
        <v>27.307937391428567</v>
      </c>
      <c r="U406" s="8">
        <v>1467.4762214914285</v>
      </c>
      <c r="V406" s="8">
        <v>293.49524429828574</v>
      </c>
      <c r="W406" s="8">
        <v>184.26275009999998</v>
      </c>
      <c r="X406" s="15">
        <v>1576.7087156897144</v>
      </c>
      <c r="AA406">
        <v>1190.28</v>
      </c>
      <c r="AB406" t="s">
        <v>30</v>
      </c>
      <c r="AC406" t="s">
        <v>1424</v>
      </c>
      <c r="AE406" t="s">
        <v>1350</v>
      </c>
      <c r="AG406" t="s">
        <v>1350</v>
      </c>
    </row>
    <row r="407" spans="1:33" x14ac:dyDescent="0.25">
      <c r="A407" s="16" t="s">
        <v>1227</v>
      </c>
      <c r="B407" s="17" t="s">
        <v>124</v>
      </c>
      <c r="C407" s="17" t="s">
        <v>125</v>
      </c>
      <c r="D407" s="18">
        <v>1316.66</v>
      </c>
      <c r="E407" s="18">
        <v>5.0309999999999997</v>
      </c>
      <c r="F407" s="18">
        <v>0</v>
      </c>
      <c r="G407" s="18">
        <v>20</v>
      </c>
      <c r="H407" s="8">
        <v>13.166600000000001</v>
      </c>
      <c r="I407" s="8">
        <v>20.123999999999999</v>
      </c>
      <c r="J407" s="8">
        <v>1349.9506000000001</v>
      </c>
      <c r="K407" s="8">
        <v>0</v>
      </c>
      <c r="L407" s="8">
        <v>6.749753000000001</v>
      </c>
      <c r="M407" s="8">
        <v>203.50505295000002</v>
      </c>
      <c r="N407" s="8">
        <v>210.25480595000002</v>
      </c>
      <c r="O407" s="8">
        <v>65.833000000000013</v>
      </c>
      <c r="P407" s="8">
        <v>21.406904999999998</v>
      </c>
      <c r="Q407" s="8">
        <v>0.57798643499999991</v>
      </c>
      <c r="R407" s="8">
        <v>0.36391738499999998</v>
      </c>
      <c r="S407" s="8">
        <v>4.95912857142857</v>
      </c>
      <c r="T407" s="8">
        <v>27.307937391428567</v>
      </c>
      <c r="U407" s="8">
        <v>1620.0557433414288</v>
      </c>
      <c r="V407" s="8">
        <v>324.01114866828578</v>
      </c>
      <c r="W407" s="8">
        <v>203.50505295000002</v>
      </c>
      <c r="X407" s="15">
        <v>1740.5618390597147</v>
      </c>
      <c r="AA407">
        <v>1316.66</v>
      </c>
      <c r="AB407" t="s">
        <v>30</v>
      </c>
      <c r="AC407" t="s">
        <v>1425</v>
      </c>
      <c r="AE407" t="s">
        <v>1351</v>
      </c>
      <c r="AG407" t="s">
        <v>1351</v>
      </c>
    </row>
    <row r="408" spans="1:33" x14ac:dyDescent="0.25">
      <c r="A408" s="13" t="s">
        <v>1228</v>
      </c>
      <c r="B408" s="14" t="s">
        <v>1229</v>
      </c>
      <c r="C408" s="14" t="s">
        <v>201</v>
      </c>
      <c r="D408" s="10">
        <v>303.37</v>
      </c>
      <c r="E408" s="10">
        <v>3.2709999999999999</v>
      </c>
      <c r="F408" s="10">
        <v>0</v>
      </c>
      <c r="G408" s="10">
        <v>20</v>
      </c>
      <c r="H408" s="8">
        <v>3.0337000000000001</v>
      </c>
      <c r="I408" s="8">
        <v>13.084</v>
      </c>
      <c r="J408" s="8">
        <v>319.48770000000002</v>
      </c>
      <c r="K408" s="8">
        <v>0</v>
      </c>
      <c r="L408" s="8">
        <v>1.5974385000000002</v>
      </c>
      <c r="M408" s="8">
        <v>48.162770775000006</v>
      </c>
      <c r="N408" s="8">
        <v>49.760209275000008</v>
      </c>
      <c r="O408" s="8">
        <v>15.168500000000002</v>
      </c>
      <c r="P408" s="8">
        <v>13.918104999999999</v>
      </c>
      <c r="Q408" s="8">
        <v>0.37578883499999999</v>
      </c>
      <c r="R408" s="8">
        <v>0.23660778499999999</v>
      </c>
      <c r="S408" s="8">
        <v>3.224271428571428</v>
      </c>
      <c r="T408" s="8">
        <v>17.754773048571426</v>
      </c>
      <c r="U408" s="8">
        <v>386.05348232357147</v>
      </c>
      <c r="V408" s="8">
        <v>77.210696464714303</v>
      </c>
      <c r="W408" s="8">
        <v>48.162770775000006</v>
      </c>
      <c r="X408" s="15">
        <v>415.10140801328578</v>
      </c>
      <c r="AA408">
        <v>303.37</v>
      </c>
      <c r="AB408" t="s">
        <v>30</v>
      </c>
      <c r="AC408" t="s">
        <v>1426</v>
      </c>
      <c r="AE408" t="s">
        <v>1352</v>
      </c>
      <c r="AF408">
        <v>681.19</v>
      </c>
      <c r="AG408" t="s">
        <v>1352</v>
      </c>
    </row>
    <row r="409" spans="1:33" x14ac:dyDescent="0.25">
      <c r="A409" s="16" t="s">
        <v>1230</v>
      </c>
      <c r="B409" s="17" t="s">
        <v>265</v>
      </c>
      <c r="C409" s="17" t="s">
        <v>41</v>
      </c>
      <c r="D409" s="18">
        <v>156.81</v>
      </c>
      <c r="E409" s="18">
        <v>0.57999999999999996</v>
      </c>
      <c r="F409" s="18">
        <v>15</v>
      </c>
      <c r="G409" s="18">
        <v>20</v>
      </c>
      <c r="H409" s="8">
        <v>1.5681</v>
      </c>
      <c r="I409" s="8">
        <v>2.3199999999999998</v>
      </c>
      <c r="J409" s="8">
        <v>160.69809999999998</v>
      </c>
      <c r="K409" s="8">
        <v>24.104714999999995</v>
      </c>
      <c r="L409" s="8">
        <v>0.80349049999999989</v>
      </c>
      <c r="M409" s="8">
        <v>27.840945824999999</v>
      </c>
      <c r="N409" s="8">
        <v>52.749151324999993</v>
      </c>
      <c r="O409" s="8">
        <v>7.8405000000000005</v>
      </c>
      <c r="P409" s="8">
        <v>2.4678999999999998</v>
      </c>
      <c r="Q409" s="8">
        <v>6.6633299999999993E-2</v>
      </c>
      <c r="R409" s="8">
        <v>4.19543E-2</v>
      </c>
      <c r="S409" s="8">
        <v>0.57171428571428562</v>
      </c>
      <c r="T409" s="8">
        <v>3.1482018857142853</v>
      </c>
      <c r="U409" s="8">
        <v>220.54785321071427</v>
      </c>
      <c r="V409" s="8">
        <v>44.109570642142856</v>
      </c>
      <c r="W409" s="8">
        <v>27.840945824999999</v>
      </c>
      <c r="X409" s="15">
        <v>236.8164780278571</v>
      </c>
      <c r="AA409">
        <v>445.79</v>
      </c>
      <c r="AB409" t="s">
        <v>30</v>
      </c>
      <c r="AC409" t="s">
        <v>1427</v>
      </c>
      <c r="AE409" t="s">
        <v>1353</v>
      </c>
      <c r="AF409">
        <v>156.81</v>
      </c>
      <c r="AG409" t="s">
        <v>1353</v>
      </c>
    </row>
    <row r="410" spans="1:33" x14ac:dyDescent="0.25">
      <c r="A410" s="13" t="s">
        <v>1231</v>
      </c>
      <c r="B410" s="14" t="s">
        <v>87</v>
      </c>
      <c r="C410" s="14" t="s">
        <v>41</v>
      </c>
      <c r="D410" s="10">
        <v>177.3</v>
      </c>
      <c r="E410" s="10">
        <v>2</v>
      </c>
      <c r="F410" s="10">
        <v>15</v>
      </c>
      <c r="G410" s="10">
        <v>20</v>
      </c>
      <c r="H410" s="8">
        <v>1.7730000000000001</v>
      </c>
      <c r="I410" s="8">
        <v>8</v>
      </c>
      <c r="J410" s="8">
        <v>187.07300000000001</v>
      </c>
      <c r="K410" s="8">
        <v>28.060950000000002</v>
      </c>
      <c r="L410" s="8">
        <v>0.935365</v>
      </c>
      <c r="M410" s="8">
        <v>32.410397249999995</v>
      </c>
      <c r="N410" s="8">
        <v>61.406712249999998</v>
      </c>
      <c r="O410" s="8">
        <v>8.8650000000000002</v>
      </c>
      <c r="P410" s="8">
        <v>8.51</v>
      </c>
      <c r="Q410" s="8">
        <v>0.22977</v>
      </c>
      <c r="R410" s="8">
        <v>0.14466999999999999</v>
      </c>
      <c r="S410" s="8">
        <v>1.9714285714285711</v>
      </c>
      <c r="T410" s="8">
        <v>10.855868571428571</v>
      </c>
      <c r="U410" s="8">
        <v>258.42758082142859</v>
      </c>
      <c r="V410" s="8">
        <v>51.685516164285723</v>
      </c>
      <c r="W410" s="8">
        <v>32.410397249999995</v>
      </c>
      <c r="X410" s="15">
        <v>277.7026997357143</v>
      </c>
      <c r="AA410">
        <v>426.62</v>
      </c>
      <c r="AB410" t="s">
        <v>30</v>
      </c>
      <c r="AC410" t="s">
        <v>1428</v>
      </c>
      <c r="AE410" t="s">
        <v>1354</v>
      </c>
      <c r="AF410">
        <v>177.3</v>
      </c>
      <c r="AG410" t="s">
        <v>1354</v>
      </c>
    </row>
    <row r="411" spans="1:33" x14ac:dyDescent="0.25">
      <c r="A411" s="16" t="s">
        <v>1232</v>
      </c>
      <c r="B411" s="17" t="s">
        <v>266</v>
      </c>
      <c r="C411" s="17" t="s">
        <v>90</v>
      </c>
      <c r="D411" s="18">
        <v>277</v>
      </c>
      <c r="E411" s="18"/>
      <c r="F411" s="18">
        <v>15</v>
      </c>
      <c r="G411" s="18">
        <v>20</v>
      </c>
      <c r="H411" s="8">
        <v>2.77</v>
      </c>
      <c r="I411" s="8"/>
      <c r="J411" s="8"/>
      <c r="K411" s="8"/>
      <c r="L411" s="8"/>
      <c r="M411" s="8"/>
      <c r="N411" s="8"/>
      <c r="O411" s="8">
        <v>13.850000000000001</v>
      </c>
      <c r="P411" s="8"/>
      <c r="Q411" s="8"/>
      <c r="R411" s="8"/>
      <c r="S411" s="8"/>
      <c r="T411" s="8"/>
      <c r="U411" s="8"/>
      <c r="V411" s="8"/>
      <c r="W411" s="8"/>
      <c r="X411" s="15"/>
      <c r="AB411" t="s">
        <v>30</v>
      </c>
      <c r="AE411" t="s">
        <v>1355</v>
      </c>
      <c r="AF411">
        <v>277</v>
      </c>
      <c r="AG411" t="s">
        <v>1355</v>
      </c>
    </row>
    <row r="412" spans="1:33" x14ac:dyDescent="0.25">
      <c r="A412" s="13" t="s">
        <v>1233</v>
      </c>
      <c r="B412" s="14" t="s">
        <v>89</v>
      </c>
      <c r="C412" s="14" t="s">
        <v>90</v>
      </c>
      <c r="D412" s="10">
        <v>277</v>
      </c>
      <c r="E412" s="10"/>
      <c r="F412" s="10">
        <v>15</v>
      </c>
      <c r="G412" s="10">
        <v>20</v>
      </c>
      <c r="H412" s="8">
        <v>2.77</v>
      </c>
      <c r="I412" s="8"/>
      <c r="J412" s="8"/>
      <c r="K412" s="8"/>
      <c r="L412" s="8"/>
      <c r="M412" s="8"/>
      <c r="N412" s="8"/>
      <c r="O412" s="8">
        <v>13.850000000000001</v>
      </c>
      <c r="P412" s="8"/>
      <c r="Q412" s="8"/>
      <c r="R412" s="8"/>
      <c r="S412" s="8"/>
      <c r="T412" s="8"/>
      <c r="U412" s="8"/>
      <c r="V412" s="8"/>
      <c r="W412" s="8"/>
      <c r="X412" s="15"/>
      <c r="AB412" t="s">
        <v>30</v>
      </c>
      <c r="AD412">
        <v>226.52</v>
      </c>
      <c r="AE412" t="s">
        <v>1356</v>
      </c>
      <c r="AF412">
        <v>277</v>
      </c>
      <c r="AG412" t="s">
        <v>1356</v>
      </c>
    </row>
    <row r="413" spans="1:33" x14ac:dyDescent="0.25">
      <c r="A413" s="16" t="s">
        <v>1234</v>
      </c>
      <c r="B413" s="17" t="s">
        <v>1235</v>
      </c>
      <c r="C413" s="17" t="s">
        <v>357</v>
      </c>
      <c r="D413" s="18">
        <v>0</v>
      </c>
      <c r="E413" s="18"/>
      <c r="F413" s="18">
        <v>0</v>
      </c>
      <c r="G413" s="18">
        <v>20</v>
      </c>
      <c r="H413" s="8">
        <v>0</v>
      </c>
      <c r="I413" s="8"/>
      <c r="J413" s="8"/>
      <c r="K413" s="8"/>
      <c r="L413" s="8"/>
      <c r="M413" s="8"/>
      <c r="N413" s="8"/>
      <c r="O413" s="8">
        <v>0</v>
      </c>
      <c r="P413" s="8"/>
      <c r="Q413" s="8"/>
      <c r="R413" s="8"/>
      <c r="S413" s="8"/>
      <c r="T413" s="8"/>
      <c r="U413" s="8"/>
      <c r="V413" s="8"/>
      <c r="W413" s="8"/>
      <c r="X413" s="15"/>
      <c r="AB413" t="s">
        <v>30</v>
      </c>
      <c r="AE413" t="s">
        <v>1357</v>
      </c>
      <c r="AG413" t="s">
        <v>1357</v>
      </c>
    </row>
    <row r="414" spans="1:33" x14ac:dyDescent="0.25">
      <c r="A414" s="13" t="s">
        <v>1236</v>
      </c>
      <c r="B414" s="14" t="s">
        <v>1237</v>
      </c>
      <c r="C414" s="14" t="s">
        <v>41</v>
      </c>
      <c r="D414" s="10">
        <v>0</v>
      </c>
      <c r="E414" s="10"/>
      <c r="F414" s="10">
        <v>15</v>
      </c>
      <c r="G414" s="10">
        <v>20</v>
      </c>
      <c r="H414" s="8">
        <v>0</v>
      </c>
      <c r="I414" s="8"/>
      <c r="J414" s="8"/>
      <c r="K414" s="8"/>
      <c r="L414" s="8"/>
      <c r="M414" s="8"/>
      <c r="N414" s="8"/>
      <c r="O414" s="8">
        <v>0</v>
      </c>
      <c r="P414" s="8"/>
      <c r="Q414" s="8"/>
      <c r="R414" s="8"/>
      <c r="S414" s="8"/>
      <c r="T414" s="8"/>
      <c r="U414" s="8"/>
      <c r="V414" s="8"/>
      <c r="W414" s="8"/>
      <c r="X414" s="15"/>
      <c r="AB414" t="s">
        <v>30</v>
      </c>
      <c r="AD414">
        <v>121</v>
      </c>
      <c r="AE414" t="s">
        <v>1358</v>
      </c>
      <c r="AG414" t="s">
        <v>1358</v>
      </c>
    </row>
    <row r="415" spans="1:33" x14ac:dyDescent="0.25">
      <c r="A415" s="16" t="s">
        <v>1238</v>
      </c>
      <c r="B415" s="17" t="s">
        <v>1239</v>
      </c>
      <c r="C415" s="17" t="s">
        <v>41</v>
      </c>
      <c r="D415" s="18">
        <v>213.27</v>
      </c>
      <c r="E415" s="18">
        <v>1.38</v>
      </c>
      <c r="F415" s="18">
        <v>15</v>
      </c>
      <c r="G415" s="18">
        <v>20</v>
      </c>
      <c r="H415" s="8">
        <v>2.1327000000000003</v>
      </c>
      <c r="I415" s="8">
        <v>5.52</v>
      </c>
      <c r="J415" s="8">
        <v>220.92270000000002</v>
      </c>
      <c r="K415" s="8">
        <v>33.138404999999999</v>
      </c>
      <c r="L415" s="8">
        <v>1.1046135000000001</v>
      </c>
      <c r="M415" s="8">
        <v>38.274857775000001</v>
      </c>
      <c r="N415" s="8">
        <v>72.517876274999992</v>
      </c>
      <c r="O415" s="8">
        <v>10.663500000000001</v>
      </c>
      <c r="P415" s="8">
        <v>5.8718999999999992</v>
      </c>
      <c r="Q415" s="8">
        <v>0.15854129999999997</v>
      </c>
      <c r="R415" s="8">
        <v>9.9822299999999989E-2</v>
      </c>
      <c r="S415" s="8">
        <v>1.3602857142857139</v>
      </c>
      <c r="T415" s="8">
        <v>7.4905493142857118</v>
      </c>
      <c r="U415" s="8">
        <v>303.94192558928574</v>
      </c>
      <c r="V415" s="8">
        <v>60.788385117857153</v>
      </c>
      <c r="W415" s="8">
        <v>38.274857775000001</v>
      </c>
      <c r="X415" s="15">
        <v>326.45545293214292</v>
      </c>
      <c r="AA415">
        <v>213.27</v>
      </c>
      <c r="AB415" t="s">
        <v>30</v>
      </c>
      <c r="AC415" t="s">
        <v>1429</v>
      </c>
      <c r="AD415">
        <v>133.1</v>
      </c>
      <c r="AE415" t="s">
        <v>1359</v>
      </c>
      <c r="AG415" t="s">
        <v>1359</v>
      </c>
    </row>
    <row r="416" spans="1:33" x14ac:dyDescent="0.25">
      <c r="A416" s="13" t="s">
        <v>1240</v>
      </c>
      <c r="B416" s="14" t="s">
        <v>1241</v>
      </c>
      <c r="C416" s="14" t="s">
        <v>45</v>
      </c>
      <c r="D416" s="10">
        <v>161.56</v>
      </c>
      <c r="E416" s="10">
        <v>0.105</v>
      </c>
      <c r="F416" s="10">
        <v>0</v>
      </c>
      <c r="G416" s="10">
        <v>20</v>
      </c>
      <c r="H416" s="8">
        <v>1.6156000000000001</v>
      </c>
      <c r="I416" s="8">
        <v>0.42</v>
      </c>
      <c r="J416" s="8">
        <v>163.59559999999999</v>
      </c>
      <c r="K416" s="8">
        <v>0</v>
      </c>
      <c r="L416" s="8">
        <v>0.81797799999999998</v>
      </c>
      <c r="M416" s="8">
        <v>24.662036699999998</v>
      </c>
      <c r="N416" s="8">
        <v>25.480014699999998</v>
      </c>
      <c r="O416" s="8">
        <v>8.0780000000000012</v>
      </c>
      <c r="P416" s="8">
        <v>0.44677499999999998</v>
      </c>
      <c r="Q416" s="8">
        <v>1.2062924999999999E-2</v>
      </c>
      <c r="R416" s="8">
        <v>7.595175E-3</v>
      </c>
      <c r="S416" s="8">
        <v>0.10349999999999999</v>
      </c>
      <c r="T416" s="8">
        <v>0.56993309999999997</v>
      </c>
      <c r="U416" s="8">
        <v>195.68794779999999</v>
      </c>
      <c r="V416" s="8">
        <v>39.137589560000002</v>
      </c>
      <c r="W416" s="8">
        <v>24.662036699999998</v>
      </c>
      <c r="X416" s="15">
        <v>210.16350066000001</v>
      </c>
      <c r="AA416">
        <v>161.56</v>
      </c>
      <c r="AB416" t="s">
        <v>30</v>
      </c>
      <c r="AC416" t="s">
        <v>1430</v>
      </c>
      <c r="AD416">
        <v>39.17</v>
      </c>
      <c r="AE416" t="s">
        <v>1360</v>
      </c>
      <c r="AG416" t="s">
        <v>1360</v>
      </c>
    </row>
    <row r="417" spans="1:33" x14ac:dyDescent="0.25">
      <c r="A417" s="16" t="s">
        <v>1242</v>
      </c>
      <c r="B417" s="17" t="s">
        <v>1243</v>
      </c>
      <c r="C417" s="17" t="s">
        <v>45</v>
      </c>
      <c r="D417" s="18">
        <v>163.79</v>
      </c>
      <c r="E417" s="18">
        <v>0.105</v>
      </c>
      <c r="F417" s="18">
        <v>0</v>
      </c>
      <c r="G417" s="18">
        <v>20</v>
      </c>
      <c r="H417" s="8">
        <v>1.6378999999999999</v>
      </c>
      <c r="I417" s="8">
        <v>0.42</v>
      </c>
      <c r="J417" s="8">
        <v>165.84789999999998</v>
      </c>
      <c r="K417" s="8">
        <v>0</v>
      </c>
      <c r="L417" s="8">
        <v>0.82923949999999991</v>
      </c>
      <c r="M417" s="8">
        <v>25.001570924999996</v>
      </c>
      <c r="N417" s="8">
        <v>25.830810424999996</v>
      </c>
      <c r="O417" s="8">
        <v>8.1895000000000007</v>
      </c>
      <c r="P417" s="8">
        <v>0.44677499999999998</v>
      </c>
      <c r="Q417" s="8">
        <v>1.2062924999999999E-2</v>
      </c>
      <c r="R417" s="8">
        <v>7.595175E-3</v>
      </c>
      <c r="S417" s="8">
        <v>0.10349999999999999</v>
      </c>
      <c r="T417" s="8">
        <v>0.56993309999999997</v>
      </c>
      <c r="U417" s="8">
        <v>198.380243525</v>
      </c>
      <c r="V417" s="8">
        <v>39.676048704999999</v>
      </c>
      <c r="W417" s="8">
        <v>25.001570924999996</v>
      </c>
      <c r="X417" s="15">
        <v>213.05472130499999</v>
      </c>
      <c r="AA417">
        <v>163.79</v>
      </c>
      <c r="AB417" t="s">
        <v>30</v>
      </c>
      <c r="AC417" t="s">
        <v>1431</v>
      </c>
      <c r="AD417">
        <v>47.61</v>
      </c>
      <c r="AE417" t="s">
        <v>1361</v>
      </c>
      <c r="AG417" t="s">
        <v>1361</v>
      </c>
    </row>
    <row r="418" spans="1:33" x14ac:dyDescent="0.25">
      <c r="A418" s="13" t="s">
        <v>1244</v>
      </c>
      <c r="B418" s="14" t="s">
        <v>1245</v>
      </c>
      <c r="C418" s="14" t="s">
        <v>274</v>
      </c>
      <c r="D418" s="10">
        <v>0</v>
      </c>
      <c r="E418" s="10"/>
      <c r="F418" s="10">
        <v>0</v>
      </c>
      <c r="G418" s="10">
        <v>20</v>
      </c>
      <c r="H418" s="8">
        <v>0</v>
      </c>
      <c r="I418" s="8"/>
      <c r="J418" s="8"/>
      <c r="K418" s="8"/>
      <c r="L418" s="8"/>
      <c r="M418" s="8"/>
      <c r="N418" s="8"/>
      <c r="O418" s="8">
        <v>0</v>
      </c>
      <c r="P418" s="8"/>
      <c r="Q418" s="8"/>
      <c r="R418" s="8"/>
      <c r="S418" s="8"/>
      <c r="T418" s="8"/>
      <c r="U418" s="8"/>
      <c r="V418" s="8"/>
      <c r="W418" s="8"/>
      <c r="X418" s="15"/>
      <c r="AB418" t="s">
        <v>30</v>
      </c>
      <c r="AD418">
        <v>38.619999999999997</v>
      </c>
      <c r="AE418" t="s">
        <v>1362</v>
      </c>
      <c r="AF418">
        <v>53.45</v>
      </c>
      <c r="AG418" t="s">
        <v>1362</v>
      </c>
    </row>
    <row r="419" spans="1:33" x14ac:dyDescent="0.25">
      <c r="A419" s="16" t="s">
        <v>1246</v>
      </c>
      <c r="B419" s="17" t="s">
        <v>1247</v>
      </c>
      <c r="C419" s="17" t="s">
        <v>274</v>
      </c>
      <c r="D419" s="18">
        <v>17.82</v>
      </c>
      <c r="E419" s="18">
        <v>0.36299999999999999</v>
      </c>
      <c r="F419" s="18">
        <v>0</v>
      </c>
      <c r="G419" s="18">
        <v>20</v>
      </c>
      <c r="H419" s="8">
        <v>0.1782</v>
      </c>
      <c r="I419" s="8">
        <v>1.452</v>
      </c>
      <c r="J419" s="8">
        <v>19.450200000000002</v>
      </c>
      <c r="K419" s="8">
        <v>0</v>
      </c>
      <c r="L419" s="8">
        <v>9.7251000000000018E-2</v>
      </c>
      <c r="M419" s="8">
        <v>2.9321176500000004</v>
      </c>
      <c r="N419" s="8">
        <v>3.0293686500000003</v>
      </c>
      <c r="O419" s="8">
        <v>0.89100000000000001</v>
      </c>
      <c r="P419" s="8">
        <v>1.5445649999999997</v>
      </c>
      <c r="Q419" s="8">
        <v>4.1703254999999995E-2</v>
      </c>
      <c r="R419" s="8">
        <v>2.6257604999999996E-2</v>
      </c>
      <c r="S419" s="8">
        <v>0.35781428571428564</v>
      </c>
      <c r="T419" s="8">
        <v>1.9703401457142855</v>
      </c>
      <c r="U419" s="8">
        <v>23.710708795714286</v>
      </c>
      <c r="V419" s="8">
        <v>4.7421417591428572</v>
      </c>
      <c r="W419" s="8">
        <v>2.9321176500000004</v>
      </c>
      <c r="X419" s="15">
        <v>25.520732904857141</v>
      </c>
      <c r="AA419">
        <v>17.82</v>
      </c>
      <c r="AB419" t="s">
        <v>30</v>
      </c>
      <c r="AC419" t="s">
        <v>1432</v>
      </c>
      <c r="AD419">
        <v>37.950000000000003</v>
      </c>
      <c r="AE419" t="s">
        <v>1363</v>
      </c>
      <c r="AF419">
        <v>63.56</v>
      </c>
      <c r="AG419" t="s">
        <v>1363</v>
      </c>
    </row>
    <row r="420" spans="1:33" x14ac:dyDescent="0.25">
      <c r="A420" s="13" t="s">
        <v>1248</v>
      </c>
      <c r="B420" s="14" t="s">
        <v>1249</v>
      </c>
      <c r="C420" s="14" t="s">
        <v>1250</v>
      </c>
      <c r="D420" s="10">
        <v>174.95</v>
      </c>
      <c r="E420" s="10">
        <v>0.39700000000000002</v>
      </c>
      <c r="F420" s="10">
        <v>0</v>
      </c>
      <c r="G420" s="10">
        <v>20</v>
      </c>
      <c r="H420" s="8">
        <v>1.7494999999999998</v>
      </c>
      <c r="I420" s="8">
        <v>1.5880000000000001</v>
      </c>
      <c r="J420" s="8">
        <v>178.28749999999999</v>
      </c>
      <c r="K420" s="8">
        <v>0</v>
      </c>
      <c r="L420" s="8">
        <v>0.89143749999999999</v>
      </c>
      <c r="M420" s="8">
        <v>26.876840624999996</v>
      </c>
      <c r="N420" s="8">
        <v>27.768278124999995</v>
      </c>
      <c r="O420" s="8">
        <v>8.7475000000000005</v>
      </c>
      <c r="P420" s="8">
        <v>1.689235</v>
      </c>
      <c r="Q420" s="8">
        <v>4.5609345000000003E-2</v>
      </c>
      <c r="R420" s="8">
        <v>2.8716995000000002E-2</v>
      </c>
      <c r="S420" s="8">
        <v>0.39132857142857141</v>
      </c>
      <c r="T420" s="8">
        <v>2.1548899114285711</v>
      </c>
      <c r="U420" s="8">
        <v>213.62066803642855</v>
      </c>
      <c r="V420" s="8">
        <v>42.724133607285715</v>
      </c>
      <c r="W420" s="8">
        <v>26.876840624999996</v>
      </c>
      <c r="X420" s="15">
        <v>229.46796101871428</v>
      </c>
      <c r="AA420">
        <v>174.95</v>
      </c>
      <c r="AB420" t="s">
        <v>30</v>
      </c>
      <c r="AC420" t="s">
        <v>1433</v>
      </c>
      <c r="AD420">
        <v>49.13</v>
      </c>
      <c r="AE420" t="s">
        <v>1364</v>
      </c>
      <c r="AG420" t="s">
        <v>1364</v>
      </c>
    </row>
    <row r="421" spans="1:33" x14ac:dyDescent="0.25">
      <c r="A421" s="16" t="s">
        <v>1251</v>
      </c>
      <c r="B421" s="17" t="s">
        <v>1252</v>
      </c>
      <c r="C421" s="19"/>
      <c r="D421" s="18">
        <v>103.27</v>
      </c>
      <c r="E421" s="18">
        <v>1.5</v>
      </c>
      <c r="F421" s="18"/>
      <c r="G421" s="18">
        <v>20</v>
      </c>
      <c r="H421" s="8">
        <v>1.0327</v>
      </c>
      <c r="I421" s="8">
        <v>6</v>
      </c>
      <c r="J421" s="8">
        <v>110.3027</v>
      </c>
      <c r="K421" s="8">
        <v>0</v>
      </c>
      <c r="L421" s="8">
        <v>0.55151349999999999</v>
      </c>
      <c r="M421" s="8">
        <v>16.628132024999999</v>
      </c>
      <c r="N421" s="8">
        <v>17.179645524999998</v>
      </c>
      <c r="O421" s="8">
        <v>5.1635</v>
      </c>
      <c r="P421" s="8">
        <v>6.3825000000000003</v>
      </c>
      <c r="Q421" s="8">
        <v>0.17232749999999999</v>
      </c>
      <c r="R421" s="8">
        <v>0.10850250000000002</v>
      </c>
      <c r="S421" s="8">
        <v>1.4785714285714282</v>
      </c>
      <c r="T421" s="8">
        <v>8.141901428571428</v>
      </c>
      <c r="U421" s="8">
        <v>133.75504695357142</v>
      </c>
      <c r="V421" s="8">
        <v>26.751009390714287</v>
      </c>
      <c r="W421" s="8">
        <v>16.628132024999999</v>
      </c>
      <c r="X421" s="15">
        <v>143.87792431928568</v>
      </c>
      <c r="AA421">
        <v>103.27</v>
      </c>
      <c r="AB421" t="s">
        <v>30</v>
      </c>
      <c r="AC421" t="s">
        <v>1434</v>
      </c>
      <c r="AE421" t="s">
        <v>1365</v>
      </c>
      <c r="AF421">
        <v>54.99</v>
      </c>
      <c r="AG421" t="s">
        <v>1365</v>
      </c>
    </row>
    <row r="422" spans="1:33" x14ac:dyDescent="0.25">
      <c r="A422" s="13" t="s">
        <v>1253</v>
      </c>
      <c r="B422" s="14" t="s">
        <v>1254</v>
      </c>
      <c r="C422" s="14" t="s">
        <v>274</v>
      </c>
      <c r="D422" s="10">
        <v>293.49</v>
      </c>
      <c r="E422" s="10">
        <v>2.15</v>
      </c>
      <c r="F422" s="10">
        <v>0</v>
      </c>
      <c r="G422" s="10">
        <v>20</v>
      </c>
      <c r="H422" s="8">
        <v>2.9349000000000003</v>
      </c>
      <c r="I422" s="8">
        <v>8.6</v>
      </c>
      <c r="J422" s="8">
        <v>305.02490000000006</v>
      </c>
      <c r="K422" s="8">
        <v>0</v>
      </c>
      <c r="L422" s="8">
        <v>1.5251245000000004</v>
      </c>
      <c r="M422" s="8">
        <v>45.982503675000011</v>
      </c>
      <c r="N422" s="8">
        <v>47.507628175000008</v>
      </c>
      <c r="O422" s="8">
        <v>14.674500000000002</v>
      </c>
      <c r="P422" s="8">
        <v>9.1482499999999991</v>
      </c>
      <c r="Q422" s="8">
        <v>0.24700274999999997</v>
      </c>
      <c r="R422" s="8">
        <v>0.15552025</v>
      </c>
      <c r="S422" s="8">
        <v>2.1192857142857142</v>
      </c>
      <c r="T422" s="8">
        <v>11.670058714285714</v>
      </c>
      <c r="U422" s="8">
        <v>367.3421868892857</v>
      </c>
      <c r="V422" s="8">
        <v>73.468437377857143</v>
      </c>
      <c r="W422" s="8">
        <v>45.982503675000011</v>
      </c>
      <c r="X422" s="15">
        <v>394.8281205921428</v>
      </c>
      <c r="AA422">
        <v>293.49</v>
      </c>
      <c r="AB422" t="s">
        <v>30</v>
      </c>
      <c r="AC422" t="s">
        <v>1435</v>
      </c>
      <c r="AE422" t="s">
        <v>1366</v>
      </c>
      <c r="AF422">
        <v>39.99</v>
      </c>
      <c r="AG422" t="s">
        <v>1366</v>
      </c>
    </row>
    <row r="423" spans="1:33" x14ac:dyDescent="0.25">
      <c r="A423" s="16" t="s">
        <v>1255</v>
      </c>
      <c r="B423" s="17" t="s">
        <v>789</v>
      </c>
      <c r="C423" s="17" t="s">
        <v>790</v>
      </c>
      <c r="D423" s="18">
        <v>0</v>
      </c>
      <c r="E423" s="18"/>
      <c r="F423" s="18">
        <v>10</v>
      </c>
      <c r="G423" s="18">
        <v>20</v>
      </c>
      <c r="H423" s="8">
        <v>0</v>
      </c>
      <c r="I423" s="8"/>
      <c r="J423" s="8"/>
      <c r="K423" s="8"/>
      <c r="L423" s="8"/>
      <c r="M423" s="8"/>
      <c r="N423" s="8"/>
      <c r="O423" s="8">
        <v>0</v>
      </c>
      <c r="P423" s="8"/>
      <c r="Q423" s="8"/>
      <c r="R423" s="8"/>
      <c r="S423" s="8"/>
      <c r="T423" s="8"/>
      <c r="U423" s="8"/>
      <c r="V423" s="8"/>
      <c r="W423" s="8"/>
      <c r="X423" s="15"/>
      <c r="AB423" t="s">
        <v>30</v>
      </c>
      <c r="AE423" t="s">
        <v>1367</v>
      </c>
      <c r="AG423" t="s">
        <v>1367</v>
      </c>
    </row>
    <row r="424" spans="1:33" x14ac:dyDescent="0.25">
      <c r="A424" s="13" t="s">
        <v>1256</v>
      </c>
      <c r="B424" s="14" t="s">
        <v>52</v>
      </c>
      <c r="C424" s="14" t="s">
        <v>41</v>
      </c>
      <c r="D424" s="10">
        <v>94.98</v>
      </c>
      <c r="E424" s="10">
        <v>4.9000000000000004</v>
      </c>
      <c r="F424" s="10">
        <v>15</v>
      </c>
      <c r="G424" s="10">
        <v>20</v>
      </c>
      <c r="H424" s="8">
        <v>0.94980000000000009</v>
      </c>
      <c r="I424" s="8">
        <v>19.600000000000001</v>
      </c>
      <c r="J424" s="8">
        <v>115.52979999999999</v>
      </c>
      <c r="K424" s="8">
        <v>17.329469999999997</v>
      </c>
      <c r="L424" s="8">
        <v>0.57764899999999997</v>
      </c>
      <c r="M424" s="8">
        <v>20.015537849999998</v>
      </c>
      <c r="N424" s="8">
        <v>37.922656849999996</v>
      </c>
      <c r="O424" s="8">
        <v>4.7490000000000006</v>
      </c>
      <c r="P424" s="8">
        <v>20.849500000000003</v>
      </c>
      <c r="Q424" s="8">
        <v>0.56293650000000006</v>
      </c>
      <c r="R424" s="8">
        <v>0.35444150000000008</v>
      </c>
      <c r="S424" s="8">
        <v>4.83</v>
      </c>
      <c r="T424" s="8">
        <v>26.596878000000004</v>
      </c>
      <c r="U424" s="8">
        <v>164.24853485</v>
      </c>
      <c r="V424" s="8">
        <v>32.84970697</v>
      </c>
      <c r="W424" s="8">
        <v>20.015537849999998</v>
      </c>
      <c r="X424" s="15">
        <v>177.08270397000001</v>
      </c>
      <c r="AA424">
        <v>1781.71</v>
      </c>
      <c r="AB424" t="s">
        <v>30</v>
      </c>
      <c r="AC424" t="s">
        <v>1436</v>
      </c>
      <c r="AE424" t="s">
        <v>1368</v>
      </c>
      <c r="AF424">
        <v>94.98</v>
      </c>
      <c r="AG424" t="s">
        <v>1368</v>
      </c>
    </row>
    <row r="425" spans="1:33" x14ac:dyDescent="0.25">
      <c r="A425" s="16" t="s">
        <v>1257</v>
      </c>
      <c r="B425" s="17" t="s">
        <v>42</v>
      </c>
      <c r="C425" s="19"/>
      <c r="D425" s="18">
        <v>70.64</v>
      </c>
      <c r="E425" s="18">
        <v>1.55</v>
      </c>
      <c r="F425" s="18"/>
      <c r="G425" s="18">
        <v>20</v>
      </c>
      <c r="H425" s="8">
        <v>0.70640000000000003</v>
      </c>
      <c r="I425" s="8">
        <v>6.2</v>
      </c>
      <c r="J425" s="8">
        <v>77.546400000000006</v>
      </c>
      <c r="K425" s="8">
        <v>0</v>
      </c>
      <c r="L425" s="8">
        <v>0.38773200000000002</v>
      </c>
      <c r="M425" s="8">
        <v>11.6901198</v>
      </c>
      <c r="N425" s="8">
        <v>12.077851799999999</v>
      </c>
      <c r="O425" s="8">
        <v>3.532</v>
      </c>
      <c r="P425" s="8">
        <v>6.5952500000000001</v>
      </c>
      <c r="Q425" s="8">
        <v>0.17807175</v>
      </c>
      <c r="R425" s="8">
        <v>0.11211925</v>
      </c>
      <c r="S425" s="8">
        <v>1.5278571428571426</v>
      </c>
      <c r="T425" s="8">
        <v>8.4132981428571423</v>
      </c>
      <c r="U425" s="8">
        <v>94.663149942857146</v>
      </c>
      <c r="V425" s="8">
        <v>18.932629988571431</v>
      </c>
      <c r="W425" s="8">
        <v>11.6901198</v>
      </c>
      <c r="X425" s="15">
        <v>101.90566013142858</v>
      </c>
      <c r="AA425">
        <v>1723.25</v>
      </c>
      <c r="AB425" t="s">
        <v>30</v>
      </c>
      <c r="AC425" t="s">
        <v>1437</v>
      </c>
      <c r="AD425">
        <v>59</v>
      </c>
      <c r="AE425" t="s">
        <v>1369</v>
      </c>
      <c r="AF425">
        <v>70.64</v>
      </c>
      <c r="AG425" t="s">
        <v>1369</v>
      </c>
    </row>
    <row r="426" spans="1:33" x14ac:dyDescent="0.25">
      <c r="A426" s="13" t="s">
        <v>1258</v>
      </c>
      <c r="B426" s="14" t="s">
        <v>363</v>
      </c>
      <c r="C426" s="19"/>
      <c r="D426" s="10"/>
      <c r="E426" s="10">
        <v>0.84099999999999997</v>
      </c>
      <c r="F426" s="10"/>
      <c r="G426" s="10">
        <v>20</v>
      </c>
      <c r="H426" s="8"/>
      <c r="I426" s="8">
        <v>3.3639999999999999</v>
      </c>
      <c r="J426" s="8"/>
      <c r="K426" s="8"/>
      <c r="L426" s="8"/>
      <c r="M426" s="8"/>
      <c r="N426" s="8"/>
      <c r="O426" s="8"/>
      <c r="P426" s="8">
        <v>3.5784549999999995</v>
      </c>
      <c r="Q426" s="8">
        <v>9.6618284999999984E-2</v>
      </c>
      <c r="R426" s="8">
        <v>6.0833734999999993E-2</v>
      </c>
      <c r="S426" s="8">
        <v>0.8289857142857141</v>
      </c>
      <c r="T426" s="8">
        <v>4.5648927342857135</v>
      </c>
      <c r="U426" s="8"/>
      <c r="V426" s="8"/>
      <c r="W426" s="8"/>
      <c r="X426" s="15"/>
      <c r="AA426">
        <v>1796.2</v>
      </c>
      <c r="AB426" t="s">
        <v>30</v>
      </c>
      <c r="AC426" t="s">
        <v>1438</v>
      </c>
      <c r="AE426" t="s">
        <v>1370</v>
      </c>
      <c r="AG426" t="s">
        <v>1370</v>
      </c>
    </row>
    <row r="427" spans="1:33" x14ac:dyDescent="0.25">
      <c r="A427" s="16" t="s">
        <v>1259</v>
      </c>
      <c r="B427" s="17" t="s">
        <v>1260</v>
      </c>
      <c r="C427" s="17" t="s">
        <v>48</v>
      </c>
      <c r="D427" s="18">
        <v>50.99</v>
      </c>
      <c r="E427" s="18">
        <v>0.19500000000000001</v>
      </c>
      <c r="F427" s="18">
        <v>15</v>
      </c>
      <c r="G427" s="18">
        <v>20</v>
      </c>
      <c r="H427" s="8">
        <v>0.50990000000000002</v>
      </c>
      <c r="I427" s="8">
        <v>0.78</v>
      </c>
      <c r="J427" s="8">
        <v>52.279900000000005</v>
      </c>
      <c r="K427" s="8">
        <v>7.8419850000000002</v>
      </c>
      <c r="L427" s="8">
        <v>0.26139950000000001</v>
      </c>
      <c r="M427" s="8">
        <v>9.0574926750000007</v>
      </c>
      <c r="N427" s="8">
        <v>17.160877175000003</v>
      </c>
      <c r="O427" s="8">
        <v>2.5495000000000001</v>
      </c>
      <c r="P427" s="8">
        <v>0.82972499999999993</v>
      </c>
      <c r="Q427" s="8">
        <v>2.2402574999999997E-2</v>
      </c>
      <c r="R427" s="8">
        <v>1.4105325E-2</v>
      </c>
      <c r="S427" s="8">
        <v>0.1922142857142857</v>
      </c>
      <c r="T427" s="8">
        <v>1.0584471857142856</v>
      </c>
      <c r="U427" s="8">
        <v>71.758824360714286</v>
      </c>
      <c r="V427" s="8">
        <v>14.351764872142859</v>
      </c>
      <c r="W427" s="8">
        <v>9.0574926750000007</v>
      </c>
      <c r="X427" s="15">
        <v>77.053096557857131</v>
      </c>
      <c r="AA427">
        <v>86.79</v>
      </c>
      <c r="AB427" t="s">
        <v>30</v>
      </c>
      <c r="AC427" t="s">
        <v>1439</v>
      </c>
      <c r="AD427">
        <v>325.05</v>
      </c>
      <c r="AE427" t="s">
        <v>1371</v>
      </c>
      <c r="AF427">
        <v>50.99</v>
      </c>
      <c r="AG427" t="s">
        <v>1371</v>
      </c>
    </row>
    <row r="428" spans="1:33" x14ac:dyDescent="0.25">
      <c r="A428" s="13" t="s">
        <v>1261</v>
      </c>
      <c r="B428" s="14" t="s">
        <v>1262</v>
      </c>
      <c r="C428" s="14" t="s">
        <v>48</v>
      </c>
      <c r="D428" s="10">
        <v>50.99</v>
      </c>
      <c r="E428" s="10">
        <v>0.17599999999999999</v>
      </c>
      <c r="F428" s="10">
        <v>15</v>
      </c>
      <c r="G428" s="10">
        <v>20</v>
      </c>
      <c r="H428" s="8">
        <v>0.50990000000000002</v>
      </c>
      <c r="I428" s="8">
        <v>0.70399999999999996</v>
      </c>
      <c r="J428" s="8">
        <v>52.203900000000004</v>
      </c>
      <c r="K428" s="8">
        <v>7.8305850000000001</v>
      </c>
      <c r="L428" s="8">
        <v>0.26101950000000002</v>
      </c>
      <c r="M428" s="8">
        <v>9.0443256750000014</v>
      </c>
      <c r="N428" s="8">
        <v>17.135930175000002</v>
      </c>
      <c r="O428" s="8">
        <v>2.5495000000000001</v>
      </c>
      <c r="P428" s="8">
        <v>0.74887999999999999</v>
      </c>
      <c r="Q428" s="8">
        <v>2.021976E-2</v>
      </c>
      <c r="R428" s="8">
        <v>1.2730960000000001E-2</v>
      </c>
      <c r="S428" s="8">
        <v>0.17348571428571424</v>
      </c>
      <c r="T428" s="8">
        <v>0.95531643428571422</v>
      </c>
      <c r="U428" s="8">
        <v>71.630746609285723</v>
      </c>
      <c r="V428" s="8">
        <v>14.326149321857145</v>
      </c>
      <c r="W428" s="8">
        <v>9.0443256750000014</v>
      </c>
      <c r="X428" s="15">
        <v>76.912570256142871</v>
      </c>
      <c r="AA428">
        <v>86.74</v>
      </c>
      <c r="AB428" t="s">
        <v>30</v>
      </c>
      <c r="AC428" t="s">
        <v>1440</v>
      </c>
      <c r="AD428">
        <v>325.05</v>
      </c>
      <c r="AE428" t="s">
        <v>1372</v>
      </c>
      <c r="AF428">
        <v>50.99</v>
      </c>
      <c r="AG428" t="s">
        <v>1372</v>
      </c>
    </row>
    <row r="429" spans="1:33" x14ac:dyDescent="0.25">
      <c r="A429" s="16" t="s">
        <v>1263</v>
      </c>
      <c r="B429" s="17" t="s">
        <v>1264</v>
      </c>
      <c r="C429" s="17" t="s">
        <v>41</v>
      </c>
      <c r="D429" s="18">
        <v>98.07</v>
      </c>
      <c r="E429" s="18">
        <v>0.59399999999999997</v>
      </c>
      <c r="F429" s="18">
        <v>15</v>
      </c>
      <c r="G429" s="18">
        <v>20</v>
      </c>
      <c r="H429" s="8">
        <v>0.98069999999999991</v>
      </c>
      <c r="I429" s="8">
        <v>2.3759999999999999</v>
      </c>
      <c r="J429" s="8">
        <v>101.4267</v>
      </c>
      <c r="K429" s="8">
        <v>15.214004999999998</v>
      </c>
      <c r="L429" s="8">
        <v>0.50713350000000001</v>
      </c>
      <c r="M429" s="8">
        <v>17.572175774999998</v>
      </c>
      <c r="N429" s="8">
        <v>33.293314275</v>
      </c>
      <c r="O429" s="8">
        <v>4.9035000000000002</v>
      </c>
      <c r="P429" s="8">
        <v>2.5274699999999997</v>
      </c>
      <c r="Q429" s="8">
        <v>6.8241689999999994E-2</v>
      </c>
      <c r="R429" s="8">
        <v>4.2966989999999997E-2</v>
      </c>
      <c r="S429" s="8">
        <v>0.58551428571428565</v>
      </c>
      <c r="T429" s="8">
        <v>3.2241929657142849</v>
      </c>
      <c r="U429" s="8">
        <v>139.49100724071428</v>
      </c>
      <c r="V429" s="8">
        <v>27.898201448142856</v>
      </c>
      <c r="W429" s="8">
        <v>17.572175774999998</v>
      </c>
      <c r="X429" s="15">
        <v>149.81703291385713</v>
      </c>
      <c r="AA429">
        <v>87.27</v>
      </c>
      <c r="AB429" t="s">
        <v>30</v>
      </c>
      <c r="AC429" t="s">
        <v>1441</v>
      </c>
      <c r="AD429">
        <v>124.27</v>
      </c>
      <c r="AE429" t="s">
        <v>1373</v>
      </c>
      <c r="AF429">
        <v>98.07</v>
      </c>
      <c r="AG429" t="s">
        <v>1373</v>
      </c>
    </row>
    <row r="430" spans="1:33" x14ac:dyDescent="0.25">
      <c r="A430" s="13" t="s">
        <v>1265</v>
      </c>
      <c r="B430" s="14" t="s">
        <v>1266</v>
      </c>
      <c r="C430" s="14" t="s">
        <v>41</v>
      </c>
      <c r="D430" s="10">
        <v>95.79</v>
      </c>
      <c r="E430" s="10">
        <v>0.47</v>
      </c>
      <c r="F430" s="10">
        <v>15</v>
      </c>
      <c r="G430" s="10">
        <v>20</v>
      </c>
      <c r="H430" s="8">
        <v>0.95790000000000008</v>
      </c>
      <c r="I430" s="8">
        <v>1.88</v>
      </c>
      <c r="J430" s="8">
        <v>98.627899999999997</v>
      </c>
      <c r="K430" s="8">
        <v>14.794184999999999</v>
      </c>
      <c r="L430" s="8">
        <v>0.49313950000000001</v>
      </c>
      <c r="M430" s="8">
        <v>17.087283674999998</v>
      </c>
      <c r="N430" s="8">
        <v>32.374608174999999</v>
      </c>
      <c r="O430" s="8">
        <v>4.7895000000000003</v>
      </c>
      <c r="P430" s="8">
        <v>1.9998499999999997</v>
      </c>
      <c r="Q430" s="8">
        <v>5.3995949999999994E-2</v>
      </c>
      <c r="R430" s="8">
        <v>3.3997449999999999E-2</v>
      </c>
      <c r="S430" s="8">
        <v>0.46328571428571419</v>
      </c>
      <c r="T430" s="8">
        <v>2.5511291142857138</v>
      </c>
      <c r="U430" s="8">
        <v>135.50523728928573</v>
      </c>
      <c r="V430" s="8">
        <v>27.101047457857149</v>
      </c>
      <c r="W430" s="8">
        <v>17.087283674999998</v>
      </c>
      <c r="X430" s="15">
        <v>145.51900107214286</v>
      </c>
      <c r="AA430">
        <v>78.959999999999994</v>
      </c>
      <c r="AB430" t="s">
        <v>30</v>
      </c>
      <c r="AC430" t="s">
        <v>1442</v>
      </c>
      <c r="AD430">
        <v>124.27</v>
      </c>
      <c r="AE430" t="s">
        <v>1374</v>
      </c>
      <c r="AF430">
        <v>95.79</v>
      </c>
      <c r="AG430" t="s">
        <v>1374</v>
      </c>
    </row>
    <row r="431" spans="1:33" x14ac:dyDescent="0.25">
      <c r="A431" s="16" t="s">
        <v>1267</v>
      </c>
      <c r="B431" s="17" t="s">
        <v>1268</v>
      </c>
      <c r="C431" s="17" t="s">
        <v>740</v>
      </c>
      <c r="D431" s="18">
        <v>85.96</v>
      </c>
      <c r="E431" s="18">
        <v>1.518</v>
      </c>
      <c r="F431" s="18">
        <v>0</v>
      </c>
      <c r="G431" s="18">
        <v>20</v>
      </c>
      <c r="H431" s="8">
        <v>0.85959999999999992</v>
      </c>
      <c r="I431" s="8">
        <v>6.0720000000000001</v>
      </c>
      <c r="J431" s="8">
        <v>92.891599999999997</v>
      </c>
      <c r="K431" s="8">
        <v>0</v>
      </c>
      <c r="L431" s="8">
        <v>0.46445799999999998</v>
      </c>
      <c r="M431" s="8">
        <v>14.003408699999998</v>
      </c>
      <c r="N431" s="8">
        <v>14.467866699999998</v>
      </c>
      <c r="O431" s="8">
        <v>4.298</v>
      </c>
      <c r="P431" s="8">
        <v>6.4590899999999998</v>
      </c>
      <c r="Q431" s="8">
        <v>0.17439542999999999</v>
      </c>
      <c r="R431" s="8">
        <v>0.10980453</v>
      </c>
      <c r="S431" s="8">
        <v>1.4963142857142857</v>
      </c>
      <c r="T431" s="8">
        <v>8.2396042457142844</v>
      </c>
      <c r="U431" s="8">
        <v>112.96547094571429</v>
      </c>
      <c r="V431" s="8">
        <v>22.59309418914286</v>
      </c>
      <c r="W431" s="8">
        <v>14.003408699999998</v>
      </c>
      <c r="X431" s="15">
        <v>121.55515643485714</v>
      </c>
      <c r="AA431">
        <v>1927.61</v>
      </c>
      <c r="AB431" t="s">
        <v>30</v>
      </c>
      <c r="AC431" t="s">
        <v>1443</v>
      </c>
      <c r="AE431" t="s">
        <v>1375</v>
      </c>
      <c r="AF431">
        <v>85.96</v>
      </c>
      <c r="AG431" t="s">
        <v>1375</v>
      </c>
    </row>
    <row r="432" spans="1:33" x14ac:dyDescent="0.25">
      <c r="A432" s="13" t="s">
        <v>1269</v>
      </c>
      <c r="B432" s="14" t="s">
        <v>1270</v>
      </c>
      <c r="C432" s="14" t="s">
        <v>790</v>
      </c>
      <c r="D432" s="10">
        <v>0</v>
      </c>
      <c r="E432" s="10"/>
      <c r="F432" s="10">
        <v>10</v>
      </c>
      <c r="G432" s="10">
        <v>20</v>
      </c>
      <c r="H432" s="8">
        <v>0</v>
      </c>
      <c r="I432" s="8"/>
      <c r="J432" s="8"/>
      <c r="K432" s="8"/>
      <c r="L432" s="8"/>
      <c r="M432" s="8"/>
      <c r="N432" s="8"/>
      <c r="O432" s="8">
        <v>0</v>
      </c>
      <c r="P432" s="8"/>
      <c r="Q432" s="8"/>
      <c r="R432" s="8"/>
      <c r="S432" s="8"/>
      <c r="T432" s="8"/>
      <c r="U432" s="8"/>
      <c r="V432" s="8"/>
      <c r="W432" s="8"/>
      <c r="X432" s="15"/>
      <c r="AB432" t="s">
        <v>30</v>
      </c>
      <c r="AD432">
        <v>77.569999999999993</v>
      </c>
      <c r="AE432" t="s">
        <v>1376</v>
      </c>
      <c r="AF432">
        <v>88.61</v>
      </c>
      <c r="AG432" t="s">
        <v>1376</v>
      </c>
    </row>
    <row r="433" spans="1:33" x14ac:dyDescent="0.25">
      <c r="A433" s="16" t="s">
        <v>1271</v>
      </c>
      <c r="B433" s="17" t="s">
        <v>1272</v>
      </c>
      <c r="C433" s="17" t="s">
        <v>274</v>
      </c>
      <c r="D433" s="18">
        <v>78.989999999999995</v>
      </c>
      <c r="E433" s="18">
        <v>4.5</v>
      </c>
      <c r="F433" s="18">
        <v>0</v>
      </c>
      <c r="G433" s="18">
        <v>20</v>
      </c>
      <c r="H433" s="8">
        <v>0.78989999999999994</v>
      </c>
      <c r="I433" s="8">
        <v>18</v>
      </c>
      <c r="J433" s="8">
        <v>97.779899999999998</v>
      </c>
      <c r="K433" s="8">
        <v>0</v>
      </c>
      <c r="L433" s="8">
        <v>0.48889949999999999</v>
      </c>
      <c r="M433" s="8">
        <v>14.740319925</v>
      </c>
      <c r="N433" s="8">
        <v>15.229219425</v>
      </c>
      <c r="O433" s="8">
        <v>3.9495</v>
      </c>
      <c r="P433" s="8">
        <v>19.147500000000001</v>
      </c>
      <c r="Q433" s="8">
        <v>0.51698250000000001</v>
      </c>
      <c r="R433" s="8">
        <v>0.32550750000000006</v>
      </c>
      <c r="S433" s="8">
        <v>4.4357142857142851</v>
      </c>
      <c r="T433" s="8">
        <v>24.425704285714289</v>
      </c>
      <c r="U433" s="8">
        <v>122.59442371071428</v>
      </c>
      <c r="V433" s="8">
        <v>24.518884742142859</v>
      </c>
      <c r="W433" s="8">
        <v>14.740319925</v>
      </c>
      <c r="X433" s="15">
        <v>132.37298852785716</v>
      </c>
      <c r="AA433">
        <v>1737.66</v>
      </c>
      <c r="AB433" t="s">
        <v>30</v>
      </c>
      <c r="AC433" t="s">
        <v>1444</v>
      </c>
      <c r="AD433">
        <v>199.98</v>
      </c>
      <c r="AE433" t="s">
        <v>1377</v>
      </c>
      <c r="AF433">
        <v>78.989999999999995</v>
      </c>
      <c r="AG433" t="s">
        <v>1377</v>
      </c>
    </row>
    <row r="434" spans="1:33" x14ac:dyDescent="0.25">
      <c r="A434" s="13" t="s">
        <v>1273</v>
      </c>
      <c r="B434" s="14" t="s">
        <v>1274</v>
      </c>
      <c r="C434" s="14" t="s">
        <v>41</v>
      </c>
      <c r="D434" s="10"/>
      <c r="E434" s="10">
        <v>0.48399999999999999</v>
      </c>
      <c r="F434" s="10">
        <v>15</v>
      </c>
      <c r="G434" s="10">
        <v>20</v>
      </c>
      <c r="H434" s="8"/>
      <c r="I434" s="8">
        <v>1.9359999999999999</v>
      </c>
      <c r="J434" s="8"/>
      <c r="K434" s="8"/>
      <c r="L434" s="8"/>
      <c r="M434" s="8"/>
      <c r="N434" s="8"/>
      <c r="O434" s="8"/>
      <c r="P434" s="8">
        <v>2.0594199999999998</v>
      </c>
      <c r="Q434" s="8">
        <v>5.5604339999999995E-2</v>
      </c>
      <c r="R434" s="8">
        <v>3.5010140000000002E-2</v>
      </c>
      <c r="S434" s="8">
        <v>0.47708571428571422</v>
      </c>
      <c r="T434" s="8">
        <v>2.6271201942857139</v>
      </c>
      <c r="U434" s="8"/>
      <c r="V434" s="8"/>
      <c r="W434" s="8"/>
      <c r="X434" s="15"/>
      <c r="AA434">
        <v>1758.36</v>
      </c>
      <c r="AB434" t="s">
        <v>30</v>
      </c>
      <c r="AC434" t="s">
        <v>1445</v>
      </c>
      <c r="AD434">
        <v>95</v>
      </c>
      <c r="AE434" t="s">
        <v>1378</v>
      </c>
      <c r="AG434" t="s">
        <v>1378</v>
      </c>
    </row>
    <row r="435" spans="1:33" x14ac:dyDescent="0.25">
      <c r="A435" s="16" t="s">
        <v>1275</v>
      </c>
      <c r="B435" s="17" t="s">
        <v>1276</v>
      </c>
      <c r="C435" s="17" t="s">
        <v>41</v>
      </c>
      <c r="D435" s="18"/>
      <c r="E435" s="18">
        <v>0.48599999999999999</v>
      </c>
      <c r="F435" s="18">
        <v>15</v>
      </c>
      <c r="G435" s="18">
        <v>20</v>
      </c>
      <c r="H435" s="8"/>
      <c r="I435" s="8">
        <v>1.944</v>
      </c>
      <c r="J435" s="8"/>
      <c r="K435" s="8"/>
      <c r="L435" s="8"/>
      <c r="M435" s="8"/>
      <c r="N435" s="8"/>
      <c r="O435" s="8"/>
      <c r="P435" s="8">
        <v>2.06793</v>
      </c>
      <c r="Q435" s="8">
        <v>5.5834109999999999E-2</v>
      </c>
      <c r="R435" s="8">
        <v>3.5154810000000002E-2</v>
      </c>
      <c r="S435" s="8">
        <v>0.47905714285714279</v>
      </c>
      <c r="T435" s="8">
        <v>2.6379760628571427</v>
      </c>
      <c r="U435" s="8"/>
      <c r="V435" s="8"/>
      <c r="W435" s="8"/>
      <c r="X435" s="15"/>
      <c r="AA435">
        <v>1756.48</v>
      </c>
      <c r="AB435" t="s">
        <v>30</v>
      </c>
      <c r="AC435" t="s">
        <v>1446</v>
      </c>
      <c r="AD435">
        <v>81</v>
      </c>
      <c r="AE435" t="s">
        <v>1379</v>
      </c>
      <c r="AG435" t="s">
        <v>1379</v>
      </c>
    </row>
    <row r="436" spans="1:33" x14ac:dyDescent="0.25">
      <c r="A436" s="13" t="s">
        <v>1277</v>
      </c>
      <c r="B436" s="14" t="s">
        <v>1278</v>
      </c>
      <c r="C436" s="14" t="s">
        <v>41</v>
      </c>
      <c r="D436" s="10">
        <v>128.49</v>
      </c>
      <c r="E436" s="10">
        <v>0.67800000000000005</v>
      </c>
      <c r="F436" s="10">
        <v>15</v>
      </c>
      <c r="G436" s="10">
        <v>20</v>
      </c>
      <c r="H436" s="8">
        <v>1.2849000000000002</v>
      </c>
      <c r="I436" s="8">
        <v>2.7120000000000002</v>
      </c>
      <c r="J436" s="8">
        <v>132.48689999999999</v>
      </c>
      <c r="K436" s="8">
        <v>19.873034999999998</v>
      </c>
      <c r="L436" s="8">
        <v>0.66243449999999993</v>
      </c>
      <c r="M436" s="8">
        <v>22.953355424999994</v>
      </c>
      <c r="N436" s="8">
        <v>43.488824924999989</v>
      </c>
      <c r="O436" s="8">
        <v>6.424500000000001</v>
      </c>
      <c r="P436" s="8">
        <v>2.8848900000000004</v>
      </c>
      <c r="Q436" s="8">
        <v>7.7892030000000015E-2</v>
      </c>
      <c r="R436" s="8">
        <v>4.9043130000000011E-2</v>
      </c>
      <c r="S436" s="8">
        <v>0.66831428571428575</v>
      </c>
      <c r="T436" s="8">
        <v>3.680139445714286</v>
      </c>
      <c r="U436" s="8">
        <v>182.08346437071427</v>
      </c>
      <c r="V436" s="8">
        <v>36.416692874142853</v>
      </c>
      <c r="W436" s="8">
        <v>22.953355424999994</v>
      </c>
      <c r="X436" s="15">
        <v>195.54680181985714</v>
      </c>
      <c r="AA436">
        <v>2403.8000000000002</v>
      </c>
      <c r="AB436" t="s">
        <v>30</v>
      </c>
      <c r="AC436" t="s">
        <v>1447</v>
      </c>
      <c r="AE436" t="s">
        <v>1380</v>
      </c>
      <c r="AF436">
        <v>128.49</v>
      </c>
      <c r="AG436" t="s">
        <v>1380</v>
      </c>
    </row>
    <row r="437" spans="1:33" x14ac:dyDescent="0.25">
      <c r="A437" s="16" t="s">
        <v>1279</v>
      </c>
      <c r="B437" s="17" t="s">
        <v>1280</v>
      </c>
      <c r="C437" s="17" t="s">
        <v>125</v>
      </c>
      <c r="D437" s="18">
        <v>35.450000000000003</v>
      </c>
      <c r="E437" s="18">
        <v>3.3849999999999998</v>
      </c>
      <c r="F437" s="18">
        <v>0</v>
      </c>
      <c r="G437" s="18">
        <v>20</v>
      </c>
      <c r="H437" s="8">
        <v>0.35450000000000004</v>
      </c>
      <c r="I437" s="8">
        <v>13.54</v>
      </c>
      <c r="J437" s="8">
        <v>49.344500000000004</v>
      </c>
      <c r="K437" s="8">
        <v>0</v>
      </c>
      <c r="L437" s="8">
        <v>0.24672250000000001</v>
      </c>
      <c r="M437" s="8">
        <v>7.4386833750000001</v>
      </c>
      <c r="N437" s="8">
        <v>7.6854058749999998</v>
      </c>
      <c r="O437" s="8">
        <v>1.7725000000000002</v>
      </c>
      <c r="P437" s="8">
        <v>14.403174999999999</v>
      </c>
      <c r="Q437" s="8">
        <v>0.38888572499999996</v>
      </c>
      <c r="R437" s="8">
        <v>0.244853975</v>
      </c>
      <c r="S437" s="8">
        <v>3.3366428571428566</v>
      </c>
      <c r="T437" s="8">
        <v>18.373557557142856</v>
      </c>
      <c r="U437" s="8">
        <v>63.281463432142857</v>
      </c>
      <c r="V437" s="8">
        <v>12.656292686428571</v>
      </c>
      <c r="W437" s="8">
        <v>7.4386833750000001</v>
      </c>
      <c r="X437" s="15">
        <v>68.499072743571432</v>
      </c>
      <c r="AA437">
        <v>36.9</v>
      </c>
      <c r="AB437" t="s">
        <v>30</v>
      </c>
      <c r="AC437" t="s">
        <v>1448</v>
      </c>
      <c r="AE437" t="s">
        <v>1381</v>
      </c>
      <c r="AF437">
        <v>35.450000000000003</v>
      </c>
      <c r="AG437" t="s">
        <v>1381</v>
      </c>
    </row>
    <row r="438" spans="1:33" x14ac:dyDescent="0.25">
      <c r="A438" s="13" t="s">
        <v>1281</v>
      </c>
      <c r="B438" s="14" t="s">
        <v>275</v>
      </c>
      <c r="C438" s="14" t="s">
        <v>41</v>
      </c>
      <c r="D438" s="10">
        <v>8.06</v>
      </c>
      <c r="E438" s="10">
        <v>8.0000000000000002E-3</v>
      </c>
      <c r="F438" s="10">
        <v>15</v>
      </c>
      <c r="G438" s="10">
        <v>20</v>
      </c>
      <c r="H438" s="8">
        <v>8.0600000000000005E-2</v>
      </c>
      <c r="I438" s="8">
        <v>3.2000000000000001E-2</v>
      </c>
      <c r="J438" s="8">
        <v>8.172600000000001</v>
      </c>
      <c r="K438" s="8">
        <v>1.2258900000000001</v>
      </c>
      <c r="L438" s="8">
        <v>4.0863000000000003E-2</v>
      </c>
      <c r="M438" s="8">
        <v>1.41590295</v>
      </c>
      <c r="N438" s="8">
        <v>2.68265595</v>
      </c>
      <c r="O438" s="8">
        <v>0.40300000000000002</v>
      </c>
      <c r="P438" s="8">
        <v>3.4040000000000001E-2</v>
      </c>
      <c r="Q438" s="8">
        <v>9.1907999999999996E-4</v>
      </c>
      <c r="R438" s="8">
        <v>5.7868000000000004E-4</v>
      </c>
      <c r="S438" s="8">
        <v>7.8857142857142841E-3</v>
      </c>
      <c r="T438" s="8">
        <v>4.3423474285714289E-2</v>
      </c>
      <c r="U438" s="8">
        <v>11.189079424285715</v>
      </c>
      <c r="V438" s="8">
        <v>2.237815884857143</v>
      </c>
      <c r="W438" s="8">
        <v>1.41590295</v>
      </c>
      <c r="X438" s="15">
        <v>12.010992359142859</v>
      </c>
      <c r="AA438">
        <v>1712.25</v>
      </c>
      <c r="AB438" t="s">
        <v>30</v>
      </c>
      <c r="AC438" t="s">
        <v>1449</v>
      </c>
      <c r="AE438" t="s">
        <v>1382</v>
      </c>
      <c r="AF438">
        <v>8.06</v>
      </c>
      <c r="AG438" t="s">
        <v>1382</v>
      </c>
    </row>
    <row r="439" spans="1:33" x14ac:dyDescent="0.25">
      <c r="A439" s="16" t="s">
        <v>1282</v>
      </c>
      <c r="B439" s="17" t="s">
        <v>1283</v>
      </c>
      <c r="C439" s="17" t="s">
        <v>274</v>
      </c>
      <c r="D439" s="18">
        <v>51.45</v>
      </c>
      <c r="E439" s="18">
        <v>1.45</v>
      </c>
      <c r="F439" s="18">
        <v>0</v>
      </c>
      <c r="G439" s="18">
        <v>20</v>
      </c>
      <c r="H439" s="8">
        <v>0.51450000000000007</v>
      </c>
      <c r="I439" s="8">
        <v>5.8</v>
      </c>
      <c r="J439" s="8">
        <v>57.764499999999998</v>
      </c>
      <c r="K439" s="8">
        <v>0</v>
      </c>
      <c r="L439" s="8">
        <v>0.28882249999999998</v>
      </c>
      <c r="M439" s="8">
        <v>8.707998374999999</v>
      </c>
      <c r="N439" s="8">
        <v>8.9968208749999992</v>
      </c>
      <c r="O439" s="8">
        <v>2.5725000000000002</v>
      </c>
      <c r="P439" s="8">
        <v>6.1697499999999996</v>
      </c>
      <c r="Q439" s="8">
        <v>0.16658324999999999</v>
      </c>
      <c r="R439" s="8">
        <v>0.10488575</v>
      </c>
      <c r="S439" s="8">
        <v>1.429285714285714</v>
      </c>
      <c r="T439" s="8">
        <v>7.8705047142857145</v>
      </c>
      <c r="U439" s="8">
        <v>70.889825589285707</v>
      </c>
      <c r="V439" s="8">
        <v>14.177965117857141</v>
      </c>
      <c r="W439" s="8">
        <v>8.707998374999999</v>
      </c>
      <c r="X439" s="15">
        <v>76.359792332142845</v>
      </c>
      <c r="AA439">
        <v>89.57</v>
      </c>
      <c r="AB439" t="s">
        <v>30</v>
      </c>
      <c r="AC439" t="s">
        <v>1450</v>
      </c>
      <c r="AD439">
        <v>162.99</v>
      </c>
      <c r="AE439" t="s">
        <v>1383</v>
      </c>
      <c r="AF439">
        <v>51.45</v>
      </c>
      <c r="AG439" t="s">
        <v>1383</v>
      </c>
    </row>
    <row r="440" spans="1:33" x14ac:dyDescent="0.25">
      <c r="A440" s="13" t="s">
        <v>1284</v>
      </c>
      <c r="B440" s="14" t="s">
        <v>1285</v>
      </c>
      <c r="C440" s="14" t="s">
        <v>45</v>
      </c>
      <c r="D440" s="10">
        <v>0</v>
      </c>
      <c r="E440" s="10"/>
      <c r="F440" s="10">
        <v>0</v>
      </c>
      <c r="G440" s="10">
        <v>20</v>
      </c>
      <c r="H440" s="8">
        <v>0</v>
      </c>
      <c r="I440" s="8"/>
      <c r="J440" s="8"/>
      <c r="K440" s="8"/>
      <c r="L440" s="8"/>
      <c r="M440" s="8"/>
      <c r="N440" s="8"/>
      <c r="O440" s="8">
        <v>0</v>
      </c>
      <c r="P440" s="8"/>
      <c r="Q440" s="8"/>
      <c r="R440" s="8"/>
      <c r="S440" s="8"/>
      <c r="T440" s="8"/>
      <c r="U440" s="8"/>
      <c r="V440" s="8"/>
      <c r="W440" s="8"/>
      <c r="X440" s="15"/>
      <c r="AB440" t="s">
        <v>30</v>
      </c>
      <c r="AE440" t="s">
        <v>1384</v>
      </c>
      <c r="AG440" t="s">
        <v>1384</v>
      </c>
    </row>
    <row r="441" spans="1:33" x14ac:dyDescent="0.25">
      <c r="A441" s="16" t="s">
        <v>1286</v>
      </c>
      <c r="B441" s="17" t="s">
        <v>1287</v>
      </c>
      <c r="C441" s="17" t="s">
        <v>90</v>
      </c>
      <c r="D441" s="18">
        <v>0</v>
      </c>
      <c r="E441" s="18"/>
      <c r="F441" s="18">
        <v>15</v>
      </c>
      <c r="G441" s="18">
        <v>20</v>
      </c>
      <c r="H441" s="8">
        <v>0</v>
      </c>
      <c r="I441" s="8"/>
      <c r="J441" s="8"/>
      <c r="K441" s="8"/>
      <c r="L441" s="8"/>
      <c r="M441" s="8"/>
      <c r="N441" s="8"/>
      <c r="O441" s="8">
        <v>0</v>
      </c>
      <c r="P441" s="8"/>
      <c r="Q441" s="8"/>
      <c r="R441" s="8"/>
      <c r="S441" s="8"/>
      <c r="T441" s="8"/>
      <c r="U441" s="8"/>
      <c r="V441" s="8"/>
      <c r="W441" s="8"/>
      <c r="X441" s="15"/>
      <c r="AB441" t="s">
        <v>30</v>
      </c>
      <c r="AE441" t="s">
        <v>1385</v>
      </c>
      <c r="AG441" t="s">
        <v>1385</v>
      </c>
    </row>
    <row r="442" spans="1:33" x14ac:dyDescent="0.25">
      <c r="A442" s="13" t="s">
        <v>1288</v>
      </c>
      <c r="B442" s="14" t="s">
        <v>1289</v>
      </c>
      <c r="C442" s="14" t="s">
        <v>90</v>
      </c>
      <c r="D442" s="10">
        <v>0</v>
      </c>
      <c r="E442" s="10"/>
      <c r="F442" s="10">
        <v>15</v>
      </c>
      <c r="G442" s="10">
        <v>20</v>
      </c>
      <c r="H442" s="8">
        <v>0</v>
      </c>
      <c r="I442" s="8"/>
      <c r="J442" s="8"/>
      <c r="K442" s="8"/>
      <c r="L442" s="8"/>
      <c r="M442" s="8"/>
      <c r="N442" s="8"/>
      <c r="O442" s="8">
        <v>0</v>
      </c>
      <c r="P442" s="8"/>
      <c r="Q442" s="8"/>
      <c r="R442" s="8"/>
      <c r="S442" s="8"/>
      <c r="T442" s="8"/>
      <c r="U442" s="8"/>
      <c r="V442" s="8"/>
      <c r="W442" s="8"/>
      <c r="X442" s="15"/>
      <c r="AB442" t="s">
        <v>30</v>
      </c>
      <c r="AD442">
        <v>28.47</v>
      </c>
      <c r="AE442" t="s">
        <v>1386</v>
      </c>
      <c r="AG442" t="s">
        <v>1386</v>
      </c>
    </row>
    <row r="443" spans="1:33" x14ac:dyDescent="0.25">
      <c r="A443" s="16" t="s">
        <v>1290</v>
      </c>
      <c r="B443" s="17" t="s">
        <v>636</v>
      </c>
      <c r="C443" s="17" t="s">
        <v>125</v>
      </c>
      <c r="D443" s="18">
        <v>38.590000000000003</v>
      </c>
      <c r="E443" s="18">
        <v>3.3849999999999998</v>
      </c>
      <c r="F443" s="18">
        <v>0</v>
      </c>
      <c r="G443" s="18">
        <v>20</v>
      </c>
      <c r="H443" s="8">
        <v>0.38590000000000002</v>
      </c>
      <c r="I443" s="8">
        <v>13.54</v>
      </c>
      <c r="J443" s="8">
        <v>52.515900000000002</v>
      </c>
      <c r="K443" s="8">
        <v>0</v>
      </c>
      <c r="L443" s="8">
        <v>0.26257950000000002</v>
      </c>
      <c r="M443" s="8">
        <v>7.9167719249999999</v>
      </c>
      <c r="N443" s="8">
        <v>8.1793514250000001</v>
      </c>
      <c r="O443" s="8">
        <v>1.9295000000000002</v>
      </c>
      <c r="P443" s="8">
        <v>14.403174999999999</v>
      </c>
      <c r="Q443" s="8">
        <v>0.38888572499999996</v>
      </c>
      <c r="R443" s="8">
        <v>0.244853975</v>
      </c>
      <c r="S443" s="8">
        <v>3.3366428571428566</v>
      </c>
      <c r="T443" s="8">
        <v>18.373557557142856</v>
      </c>
      <c r="U443" s="8">
        <v>67.072408982142861</v>
      </c>
      <c r="V443" s="8">
        <v>13.414481796428573</v>
      </c>
      <c r="W443" s="8">
        <v>7.9167719249999999</v>
      </c>
      <c r="X443" s="15">
        <v>72.570118853571429</v>
      </c>
      <c r="AA443">
        <v>37.020000000000003</v>
      </c>
      <c r="AB443" t="s">
        <v>30</v>
      </c>
      <c r="AC443" t="s">
        <v>1451</v>
      </c>
      <c r="AE443" t="s">
        <v>1387</v>
      </c>
      <c r="AF443">
        <v>38.590000000000003</v>
      </c>
      <c r="AG443" t="s">
        <v>1387</v>
      </c>
    </row>
    <row r="444" spans="1:33" x14ac:dyDescent="0.25">
      <c r="A444" s="13" t="s">
        <v>1291</v>
      </c>
      <c r="B444" s="14" t="s">
        <v>276</v>
      </c>
      <c r="C444" s="14" t="s">
        <v>41</v>
      </c>
      <c r="D444" s="10">
        <v>8.06</v>
      </c>
      <c r="E444" s="10">
        <v>7.2999999999999995E-2</v>
      </c>
      <c r="F444" s="10">
        <v>15</v>
      </c>
      <c r="G444" s="10">
        <v>20</v>
      </c>
      <c r="H444" s="8">
        <v>8.0600000000000005E-2</v>
      </c>
      <c r="I444" s="8">
        <v>0.29199999999999998</v>
      </c>
      <c r="J444" s="8">
        <v>8.4326000000000008</v>
      </c>
      <c r="K444" s="8">
        <v>1.2648900000000001</v>
      </c>
      <c r="L444" s="8">
        <v>4.2163000000000006E-2</v>
      </c>
      <c r="M444" s="8">
        <v>1.46094795</v>
      </c>
      <c r="N444" s="8">
        <v>2.7680009500000002</v>
      </c>
      <c r="O444" s="8">
        <v>0.40300000000000002</v>
      </c>
      <c r="P444" s="8">
        <v>0.31061499999999997</v>
      </c>
      <c r="Q444" s="8">
        <v>8.3866049999999984E-3</v>
      </c>
      <c r="R444" s="8">
        <v>5.2804549999999999E-3</v>
      </c>
      <c r="S444" s="8">
        <v>7.1957142857142845E-2</v>
      </c>
      <c r="T444" s="8">
        <v>0.39623920285714281</v>
      </c>
      <c r="U444" s="8">
        <v>11.627240152857144</v>
      </c>
      <c r="V444" s="8">
        <v>2.3254480305714291</v>
      </c>
      <c r="W444" s="8">
        <v>1.46094795</v>
      </c>
      <c r="X444" s="15">
        <v>12.491740233428574</v>
      </c>
      <c r="AA444">
        <v>1714.14</v>
      </c>
      <c r="AB444" t="s">
        <v>30</v>
      </c>
      <c r="AC444" t="s">
        <v>1452</v>
      </c>
      <c r="AE444" t="s">
        <v>1388</v>
      </c>
      <c r="AF444">
        <v>8.06</v>
      </c>
      <c r="AG444" t="s">
        <v>1388</v>
      </c>
    </row>
    <row r="445" spans="1:33" x14ac:dyDescent="0.25">
      <c r="A445" s="16" t="s">
        <v>1292</v>
      </c>
      <c r="B445" s="17" t="s">
        <v>1293</v>
      </c>
      <c r="C445" s="17" t="s">
        <v>274</v>
      </c>
      <c r="D445" s="18">
        <v>50.7</v>
      </c>
      <c r="E445" s="18">
        <v>1.45</v>
      </c>
      <c r="F445" s="18">
        <v>0</v>
      </c>
      <c r="G445" s="18">
        <v>20</v>
      </c>
      <c r="H445" s="8">
        <v>0.50700000000000001</v>
      </c>
      <c r="I445" s="8">
        <v>5.8</v>
      </c>
      <c r="J445" s="8">
        <v>57.006999999999998</v>
      </c>
      <c r="K445" s="8">
        <v>0</v>
      </c>
      <c r="L445" s="8">
        <v>0.28503499999999998</v>
      </c>
      <c r="M445" s="8">
        <v>8.5938052499999991</v>
      </c>
      <c r="N445" s="8">
        <v>8.8788402499999997</v>
      </c>
      <c r="O445" s="8">
        <v>2.5350000000000001</v>
      </c>
      <c r="P445" s="8">
        <v>6.1697499999999996</v>
      </c>
      <c r="Q445" s="8">
        <v>0.16658324999999999</v>
      </c>
      <c r="R445" s="8">
        <v>0.10488575</v>
      </c>
      <c r="S445" s="8">
        <v>1.429285714285714</v>
      </c>
      <c r="T445" s="8">
        <v>7.8705047142857145</v>
      </c>
      <c r="U445" s="8">
        <v>69.984344964285711</v>
      </c>
      <c r="V445" s="8">
        <v>13.996868992857143</v>
      </c>
      <c r="W445" s="8">
        <v>8.5938052499999991</v>
      </c>
      <c r="X445" s="15">
        <v>75.387408707142853</v>
      </c>
      <c r="AA445">
        <v>79.8</v>
      </c>
      <c r="AB445" t="s">
        <v>30</v>
      </c>
      <c r="AC445" t="s">
        <v>1453</v>
      </c>
      <c r="AE445" t="s">
        <v>1389</v>
      </c>
      <c r="AF445">
        <v>50.7</v>
      </c>
      <c r="AG445" t="s">
        <v>1389</v>
      </c>
    </row>
    <row r="446" spans="1:33" x14ac:dyDescent="0.25">
      <c r="A446" s="13" t="s">
        <v>1294</v>
      </c>
      <c r="B446" s="14" t="s">
        <v>520</v>
      </c>
      <c r="C446" s="14" t="s">
        <v>274</v>
      </c>
      <c r="D446" s="10">
        <v>0</v>
      </c>
      <c r="E446" s="10"/>
      <c r="F446" s="10">
        <v>0</v>
      </c>
      <c r="G446" s="10">
        <v>20</v>
      </c>
      <c r="H446" s="8">
        <v>0</v>
      </c>
      <c r="I446" s="8"/>
      <c r="J446" s="8"/>
      <c r="K446" s="8"/>
      <c r="L446" s="8"/>
      <c r="M446" s="8"/>
      <c r="N446" s="8"/>
      <c r="O446" s="8">
        <v>0</v>
      </c>
      <c r="P446" s="8"/>
      <c r="Q446" s="8"/>
      <c r="R446" s="8"/>
      <c r="S446" s="8"/>
      <c r="T446" s="8"/>
      <c r="U446" s="8"/>
      <c r="V446" s="8"/>
      <c r="W446" s="8"/>
      <c r="X446" s="15"/>
      <c r="AB446" t="s">
        <v>30</v>
      </c>
    </row>
    <row r="447" spans="1:33" x14ac:dyDescent="0.25">
      <c r="A447" s="16" t="s">
        <v>1294</v>
      </c>
      <c r="B447" s="17" t="s">
        <v>524</v>
      </c>
      <c r="C447" s="17" t="s">
        <v>274</v>
      </c>
      <c r="D447" s="18">
        <v>17.920000000000002</v>
      </c>
      <c r="E447" s="18">
        <v>0.05</v>
      </c>
      <c r="F447" s="18">
        <v>0</v>
      </c>
      <c r="G447" s="18">
        <v>20</v>
      </c>
      <c r="H447" s="8">
        <v>0.17920000000000003</v>
      </c>
      <c r="I447" s="8">
        <v>0.2</v>
      </c>
      <c r="J447" s="8">
        <v>18.299200000000003</v>
      </c>
      <c r="K447" s="8">
        <v>0</v>
      </c>
      <c r="L447" s="8">
        <v>9.1496000000000008E-2</v>
      </c>
      <c r="M447" s="8">
        <v>2.7586044000000003</v>
      </c>
      <c r="N447" s="8">
        <v>2.8501004000000001</v>
      </c>
      <c r="O447" s="8">
        <v>0.89600000000000013</v>
      </c>
      <c r="P447" s="8">
        <v>0.21275000000000002</v>
      </c>
      <c r="Q447" s="8">
        <v>5.7442500000000002E-3</v>
      </c>
      <c r="R447" s="8">
        <v>3.6167500000000006E-3</v>
      </c>
      <c r="S447" s="8">
        <v>4.928571428571428E-2</v>
      </c>
      <c r="T447" s="8">
        <v>0.27139671428571432</v>
      </c>
      <c r="U447" s="8">
        <v>21.937497114285716</v>
      </c>
      <c r="V447" s="8">
        <v>4.3874994228571431</v>
      </c>
      <c r="W447" s="8">
        <v>2.7586044000000003</v>
      </c>
      <c r="X447" s="15">
        <v>23.566392137142859</v>
      </c>
      <c r="AA447">
        <v>1694.15</v>
      </c>
      <c r="AB447" t="s">
        <v>30</v>
      </c>
      <c r="AC447" t="s">
        <v>1454</v>
      </c>
      <c r="AD447">
        <v>17.920000000000002</v>
      </c>
      <c r="AE447" t="s">
        <v>1390</v>
      </c>
      <c r="AF447">
        <v>12.18</v>
      </c>
      <c r="AG447" t="s">
        <v>1390</v>
      </c>
    </row>
    <row r="448" spans="1:33" x14ac:dyDescent="0.25">
      <c r="A448" s="13" t="s">
        <v>1295</v>
      </c>
      <c r="B448" s="14" t="s">
        <v>1296</v>
      </c>
      <c r="C448" s="14" t="s">
        <v>274</v>
      </c>
      <c r="D448" s="10">
        <v>0</v>
      </c>
      <c r="E448" s="10"/>
      <c r="F448" s="10">
        <v>0</v>
      </c>
      <c r="G448" s="10">
        <v>20</v>
      </c>
      <c r="H448" s="8">
        <v>0</v>
      </c>
      <c r="I448" s="8"/>
      <c r="J448" s="8"/>
      <c r="K448" s="8"/>
      <c r="L448" s="8"/>
      <c r="M448" s="8"/>
      <c r="N448" s="8"/>
      <c r="O448" s="8">
        <v>0</v>
      </c>
      <c r="P448" s="8"/>
      <c r="Q448" s="8"/>
      <c r="R448" s="8"/>
      <c r="S448" s="8"/>
      <c r="T448" s="8"/>
      <c r="U448" s="8"/>
      <c r="V448" s="8"/>
      <c r="W448" s="8"/>
      <c r="X448" s="15"/>
      <c r="AB448" t="s">
        <v>30</v>
      </c>
    </row>
    <row r="449" spans="1:33" x14ac:dyDescent="0.25">
      <c r="A449" s="16" t="s">
        <v>1295</v>
      </c>
      <c r="B449" s="17" t="s">
        <v>1297</v>
      </c>
      <c r="C449" s="17" t="s">
        <v>274</v>
      </c>
      <c r="D449" s="18">
        <v>19.21</v>
      </c>
      <c r="E449" s="18">
        <v>0.31</v>
      </c>
      <c r="F449" s="18">
        <v>0</v>
      </c>
      <c r="G449" s="18">
        <v>20</v>
      </c>
      <c r="H449" s="8">
        <v>0.19210000000000002</v>
      </c>
      <c r="I449" s="8">
        <v>1.24</v>
      </c>
      <c r="J449" s="8">
        <v>20.642099999999999</v>
      </c>
      <c r="K449" s="8">
        <v>0</v>
      </c>
      <c r="L449" s="8">
        <v>0.1032105</v>
      </c>
      <c r="M449" s="8">
        <v>3.1117965749999996</v>
      </c>
      <c r="N449" s="8">
        <v>3.2150070749999995</v>
      </c>
      <c r="O449" s="8">
        <v>0.96050000000000013</v>
      </c>
      <c r="P449" s="8">
        <v>1.3190499999999998</v>
      </c>
      <c r="Q449" s="8">
        <v>3.5614349999999996E-2</v>
      </c>
      <c r="R449" s="8">
        <v>2.2423849999999999E-2</v>
      </c>
      <c r="S449" s="8">
        <v>0.30557142857142849</v>
      </c>
      <c r="T449" s="8">
        <v>1.6826596285714284</v>
      </c>
      <c r="U449" s="8">
        <v>25.068166703571428</v>
      </c>
      <c r="V449" s="8">
        <v>5.0136333407142857</v>
      </c>
      <c r="W449" s="8">
        <v>3.1117965749999996</v>
      </c>
      <c r="X449" s="15">
        <v>26.970003469285714</v>
      </c>
      <c r="AA449">
        <v>1686.36</v>
      </c>
      <c r="AB449" t="s">
        <v>30</v>
      </c>
      <c r="AC449" t="s">
        <v>1455</v>
      </c>
      <c r="AD449">
        <v>19.21</v>
      </c>
      <c r="AE449" t="s">
        <v>1391</v>
      </c>
      <c r="AG449" t="s">
        <v>1391</v>
      </c>
    </row>
    <row r="450" spans="1:33" x14ac:dyDescent="0.25">
      <c r="A450" s="13" t="s">
        <v>527</v>
      </c>
      <c r="B450" s="14" t="s">
        <v>528</v>
      </c>
      <c r="C450" s="14" t="s">
        <v>277</v>
      </c>
      <c r="D450" s="10">
        <v>0</v>
      </c>
      <c r="E450" s="10"/>
      <c r="F450" s="10">
        <v>0</v>
      </c>
      <c r="G450" s="10">
        <v>20</v>
      </c>
      <c r="H450" s="8">
        <v>0</v>
      </c>
      <c r="I450" s="8"/>
      <c r="J450" s="8"/>
      <c r="K450" s="8"/>
      <c r="L450" s="8"/>
      <c r="M450" s="8"/>
      <c r="N450" s="8"/>
      <c r="O450" s="8">
        <v>0</v>
      </c>
      <c r="P450" s="8"/>
      <c r="Q450" s="8"/>
      <c r="R450" s="8"/>
      <c r="S450" s="8"/>
      <c r="T450" s="8"/>
      <c r="U450" s="8"/>
      <c r="V450" s="8"/>
      <c r="W450" s="8"/>
      <c r="X450" s="15"/>
      <c r="AB450" t="s">
        <v>30</v>
      </c>
      <c r="AE450" t="s">
        <v>537</v>
      </c>
      <c r="AG450" t="s">
        <v>537</v>
      </c>
    </row>
    <row r="451" spans="1:33" x14ac:dyDescent="0.25">
      <c r="A451" s="16" t="s">
        <v>1298</v>
      </c>
      <c r="B451" s="17" t="s">
        <v>1299</v>
      </c>
      <c r="C451" s="17" t="s">
        <v>277</v>
      </c>
      <c r="D451" s="18">
        <v>0</v>
      </c>
      <c r="E451" s="18"/>
      <c r="F451" s="18">
        <v>0</v>
      </c>
      <c r="G451" s="18">
        <v>20</v>
      </c>
      <c r="H451" s="8">
        <v>0</v>
      </c>
      <c r="I451" s="8"/>
      <c r="J451" s="8"/>
      <c r="K451" s="8"/>
      <c r="L451" s="8"/>
      <c r="M451" s="8"/>
      <c r="N451" s="8"/>
      <c r="O451" s="8">
        <v>0</v>
      </c>
      <c r="P451" s="8"/>
      <c r="Q451" s="8"/>
      <c r="R451" s="8"/>
      <c r="S451" s="8"/>
      <c r="T451" s="8"/>
      <c r="U451" s="8"/>
      <c r="V451" s="8"/>
      <c r="W451" s="8"/>
      <c r="X451" s="15"/>
      <c r="AB451" t="s">
        <v>30</v>
      </c>
      <c r="AE451" t="s">
        <v>1392</v>
      </c>
      <c r="AG451" t="s">
        <v>1392</v>
      </c>
    </row>
    <row r="452" spans="1:33" x14ac:dyDescent="0.25">
      <c r="A452" s="13" t="s">
        <v>1300</v>
      </c>
      <c r="B452" s="14" t="s">
        <v>1301</v>
      </c>
      <c r="C452" s="14" t="s">
        <v>274</v>
      </c>
      <c r="D452" s="10">
        <v>8.58</v>
      </c>
      <c r="E452" s="10">
        <v>0.04</v>
      </c>
      <c r="F452" s="10">
        <v>0</v>
      </c>
      <c r="G452" s="10">
        <v>20</v>
      </c>
      <c r="H452" s="8">
        <v>8.5800000000000001E-2</v>
      </c>
      <c r="I452" s="8">
        <v>0.16</v>
      </c>
      <c r="J452" s="8">
        <v>8.825800000000001</v>
      </c>
      <c r="K452" s="8">
        <v>0</v>
      </c>
      <c r="L452" s="8">
        <v>4.4129000000000008E-2</v>
      </c>
      <c r="M452" s="8">
        <v>1.3304893500000001</v>
      </c>
      <c r="N452" s="8">
        <v>1.3746183500000002</v>
      </c>
      <c r="O452" s="8">
        <v>0.42900000000000005</v>
      </c>
      <c r="P452" s="8">
        <v>0.17020000000000002</v>
      </c>
      <c r="Q452" s="8">
        <v>4.5954000000000004E-3</v>
      </c>
      <c r="R452" s="8">
        <v>2.8934000000000004E-3</v>
      </c>
      <c r="S452" s="8">
        <v>3.9428571428571431E-2</v>
      </c>
      <c r="T452" s="8">
        <v>0.21711737142857143</v>
      </c>
      <c r="U452" s="8">
        <v>10.600735721428572</v>
      </c>
      <c r="V452" s="8">
        <v>2.1201471442857147</v>
      </c>
      <c r="W452" s="8">
        <v>1.3304893500000001</v>
      </c>
      <c r="X452" s="15">
        <v>11.390393515714287</v>
      </c>
      <c r="AA452">
        <v>14.52</v>
      </c>
      <c r="AB452" t="s">
        <v>30</v>
      </c>
      <c r="AC452" t="s">
        <v>1456</v>
      </c>
      <c r="AD452">
        <v>23.11</v>
      </c>
      <c r="AE452" t="s">
        <v>1393</v>
      </c>
      <c r="AF452">
        <v>8.58</v>
      </c>
      <c r="AG452" t="s">
        <v>1393</v>
      </c>
    </row>
    <row r="453" spans="1:33" x14ac:dyDescent="0.25">
      <c r="A453" s="16" t="s">
        <v>1302</v>
      </c>
      <c r="B453" s="17" t="s">
        <v>383</v>
      </c>
      <c r="C453" s="17" t="s">
        <v>48</v>
      </c>
      <c r="D453" s="18">
        <v>85</v>
      </c>
      <c r="E453" s="18">
        <v>2.5</v>
      </c>
      <c r="F453" s="18">
        <v>15</v>
      </c>
      <c r="G453" s="18">
        <v>20</v>
      </c>
      <c r="H453" s="8">
        <v>0.85</v>
      </c>
      <c r="I453" s="8">
        <v>10</v>
      </c>
      <c r="J453" s="8">
        <v>95.85</v>
      </c>
      <c r="K453" s="8">
        <v>14.3775</v>
      </c>
      <c r="L453" s="8">
        <v>0.47924999999999995</v>
      </c>
      <c r="M453" s="8">
        <v>16.606012499999999</v>
      </c>
      <c r="N453" s="8">
        <v>31.462762499999997</v>
      </c>
      <c r="O453" s="8">
        <v>4.25</v>
      </c>
      <c r="P453" s="8">
        <v>10.637499999999999</v>
      </c>
      <c r="Q453" s="8">
        <v>0.28721249999999998</v>
      </c>
      <c r="R453" s="8">
        <v>0.18083750000000001</v>
      </c>
      <c r="S453" s="8">
        <v>2.464285714285714</v>
      </c>
      <c r="T453" s="8">
        <v>13.569835714285714</v>
      </c>
      <c r="U453" s="8">
        <v>134.28259821428571</v>
      </c>
      <c r="V453" s="8">
        <v>26.856519642857144</v>
      </c>
      <c r="W453" s="8">
        <v>16.606012499999999</v>
      </c>
      <c r="X453" s="15">
        <v>144.53310535714286</v>
      </c>
      <c r="AA453">
        <v>1860.36</v>
      </c>
      <c r="AB453" t="s">
        <v>30</v>
      </c>
      <c r="AC453" t="s">
        <v>1457</v>
      </c>
      <c r="AD453">
        <v>640.62</v>
      </c>
      <c r="AE453" t="s">
        <v>1394</v>
      </c>
      <c r="AF453">
        <v>85</v>
      </c>
      <c r="AG453" t="s">
        <v>1394</v>
      </c>
    </row>
    <row r="454" spans="1:33" x14ac:dyDescent="0.25">
      <c r="A454" s="13" t="s">
        <v>1303</v>
      </c>
      <c r="B454" s="14" t="s">
        <v>1304</v>
      </c>
      <c r="C454" s="14" t="s">
        <v>274</v>
      </c>
      <c r="D454" s="10">
        <v>33.47</v>
      </c>
      <c r="E454" s="10">
        <v>1.9</v>
      </c>
      <c r="F454" s="10">
        <v>0</v>
      </c>
      <c r="G454" s="10">
        <v>20</v>
      </c>
      <c r="H454" s="8">
        <v>0.3347</v>
      </c>
      <c r="I454" s="8">
        <v>7.6</v>
      </c>
      <c r="J454" s="8">
        <v>41.404699999999998</v>
      </c>
      <c r="K454" s="8">
        <v>0</v>
      </c>
      <c r="L454" s="8">
        <v>0.2070235</v>
      </c>
      <c r="M454" s="8">
        <v>6.2417585249999989</v>
      </c>
      <c r="N454" s="8">
        <v>6.448782024999999</v>
      </c>
      <c r="O454" s="8">
        <v>1.6735</v>
      </c>
      <c r="P454" s="8">
        <v>8.0845000000000002</v>
      </c>
      <c r="Q454" s="8">
        <v>0.21828150000000002</v>
      </c>
      <c r="R454" s="8">
        <v>0.13743650000000002</v>
      </c>
      <c r="S454" s="8">
        <v>1.8728571428571423</v>
      </c>
      <c r="T454" s="8">
        <v>10.313075142857143</v>
      </c>
      <c r="U454" s="8">
        <v>51.90535716785714</v>
      </c>
      <c r="V454" s="8">
        <v>10.381071433571428</v>
      </c>
      <c r="W454" s="8">
        <v>6.2417585249999989</v>
      </c>
      <c r="X454" s="15">
        <v>56.044670076428567</v>
      </c>
      <c r="AA454">
        <v>1774.61</v>
      </c>
      <c r="AB454" t="s">
        <v>30</v>
      </c>
      <c r="AC454" t="s">
        <v>1458</v>
      </c>
      <c r="AE454" t="s">
        <v>1395</v>
      </c>
      <c r="AF454">
        <v>33.47</v>
      </c>
      <c r="AG454" t="s">
        <v>1395</v>
      </c>
    </row>
    <row r="455" spans="1:33" x14ac:dyDescent="0.25">
      <c r="A455" s="16" t="s">
        <v>1305</v>
      </c>
      <c r="B455" s="17" t="s">
        <v>1306</v>
      </c>
      <c r="C455" s="17" t="s">
        <v>536</v>
      </c>
      <c r="D455" s="18"/>
      <c r="E455" s="18">
        <v>0.6</v>
      </c>
      <c r="F455" s="18">
        <v>0</v>
      </c>
      <c r="G455" s="18">
        <v>20</v>
      </c>
      <c r="H455" s="8"/>
      <c r="I455" s="8">
        <v>2.4</v>
      </c>
      <c r="J455" s="8"/>
      <c r="K455" s="8"/>
      <c r="L455" s="8"/>
      <c r="M455" s="8"/>
      <c r="N455" s="8"/>
      <c r="O455" s="8"/>
      <c r="P455" s="8">
        <v>2.5529999999999999</v>
      </c>
      <c r="Q455" s="8">
        <v>6.8930999999999992E-2</v>
      </c>
      <c r="R455" s="8">
        <v>4.3401000000000002E-2</v>
      </c>
      <c r="S455" s="8">
        <v>0.5914285714285713</v>
      </c>
      <c r="T455" s="8">
        <v>3.256760571428571</v>
      </c>
      <c r="U455" s="8"/>
      <c r="V455" s="8"/>
      <c r="W455" s="8"/>
      <c r="X455" s="15"/>
      <c r="AA455">
        <v>1750.36</v>
      </c>
      <c r="AB455" t="s">
        <v>30</v>
      </c>
      <c r="AC455" t="s">
        <v>1459</v>
      </c>
      <c r="AD455">
        <v>148.19999999999999</v>
      </c>
      <c r="AE455" t="s">
        <v>1396</v>
      </c>
      <c r="AG455" t="s">
        <v>1396</v>
      </c>
    </row>
    <row r="456" spans="1:33" x14ac:dyDescent="0.25">
      <c r="A456" s="13" t="s">
        <v>1307</v>
      </c>
      <c r="B456" s="14" t="s">
        <v>1308</v>
      </c>
      <c r="C456" s="14" t="s">
        <v>1309</v>
      </c>
      <c r="D456" s="10">
        <v>54.16</v>
      </c>
      <c r="E456" s="10">
        <v>0.26200000000000001</v>
      </c>
      <c r="F456" s="10">
        <v>0</v>
      </c>
      <c r="G456" s="10">
        <v>20</v>
      </c>
      <c r="H456" s="8">
        <v>0.54159999999999997</v>
      </c>
      <c r="I456" s="8">
        <v>1.048</v>
      </c>
      <c r="J456" s="8">
        <v>55.749600000000001</v>
      </c>
      <c r="K456" s="8">
        <v>0</v>
      </c>
      <c r="L456" s="8">
        <v>0.278748</v>
      </c>
      <c r="M456" s="8">
        <v>8.4042522000000002</v>
      </c>
      <c r="N456" s="8">
        <v>8.6830002000000004</v>
      </c>
      <c r="O456" s="8">
        <v>2.7080000000000002</v>
      </c>
      <c r="P456" s="8">
        <v>1.1148099999999999</v>
      </c>
      <c r="Q456" s="8">
        <v>3.0099869999999997E-2</v>
      </c>
      <c r="R456" s="8">
        <v>1.895177E-2</v>
      </c>
      <c r="S456" s="8">
        <v>0.25825714285714285</v>
      </c>
      <c r="T456" s="8">
        <v>1.4221187828571424</v>
      </c>
      <c r="U456" s="8">
        <v>66.97311898285713</v>
      </c>
      <c r="V456" s="8">
        <v>13.394623796571427</v>
      </c>
      <c r="W456" s="8">
        <v>8.4042522000000002</v>
      </c>
      <c r="X456" s="15">
        <v>71.963490579428552</v>
      </c>
      <c r="AA456">
        <v>1813.53</v>
      </c>
      <c r="AB456" t="s">
        <v>30</v>
      </c>
      <c r="AC456" t="s">
        <v>1460</v>
      </c>
      <c r="AD456">
        <v>163.66999999999999</v>
      </c>
      <c r="AE456" t="s">
        <v>1397</v>
      </c>
      <c r="AF456">
        <v>54.16</v>
      </c>
      <c r="AG456" t="s">
        <v>1397</v>
      </c>
    </row>
    <row r="457" spans="1:33" x14ac:dyDescent="0.25">
      <c r="A457" s="16" t="s">
        <v>1310</v>
      </c>
      <c r="B457" s="17" t="s">
        <v>1311</v>
      </c>
      <c r="C457" s="17" t="s">
        <v>1309</v>
      </c>
      <c r="D457" s="18"/>
      <c r="E457" s="18">
        <v>0.40799999999999997</v>
      </c>
      <c r="F457" s="18">
        <v>0</v>
      </c>
      <c r="G457" s="18">
        <v>20</v>
      </c>
      <c r="H457" s="8"/>
      <c r="I457" s="8">
        <v>1.6319999999999999</v>
      </c>
      <c r="J457" s="8"/>
      <c r="K457" s="8"/>
      <c r="L457" s="8"/>
      <c r="M457" s="8"/>
      <c r="N457" s="8"/>
      <c r="O457" s="8"/>
      <c r="P457" s="8">
        <v>1.73604</v>
      </c>
      <c r="Q457" s="8">
        <v>4.6873079999999998E-2</v>
      </c>
      <c r="R457" s="8">
        <v>2.9512680000000003E-2</v>
      </c>
      <c r="S457" s="8">
        <v>0.40217142857142851</v>
      </c>
      <c r="T457" s="8">
        <v>2.2145971885714286</v>
      </c>
      <c r="U457" s="8"/>
      <c r="V457" s="8"/>
      <c r="W457" s="8"/>
      <c r="X457" s="15"/>
      <c r="AA457">
        <v>1859.09</v>
      </c>
      <c r="AB457" t="s">
        <v>30</v>
      </c>
      <c r="AC457" t="s">
        <v>1461</v>
      </c>
      <c r="AE457" t="s">
        <v>1398</v>
      </c>
      <c r="AG457" t="s">
        <v>1398</v>
      </c>
    </row>
    <row r="458" spans="1:33" x14ac:dyDescent="0.25">
      <c r="A458" s="13" t="s">
        <v>1312</v>
      </c>
      <c r="B458" s="14" t="s">
        <v>1313</v>
      </c>
      <c r="C458" s="14" t="s">
        <v>1309</v>
      </c>
      <c r="D458" s="10">
        <v>20.88</v>
      </c>
      <c r="E458" s="10">
        <v>0.187</v>
      </c>
      <c r="F458" s="10">
        <v>0</v>
      </c>
      <c r="G458" s="10">
        <v>20</v>
      </c>
      <c r="H458" s="8">
        <v>0.20879999999999999</v>
      </c>
      <c r="I458" s="8">
        <v>0.748</v>
      </c>
      <c r="J458" s="8">
        <v>21.8368</v>
      </c>
      <c r="K458" s="8">
        <v>0</v>
      </c>
      <c r="L458" s="8">
        <v>0.109184</v>
      </c>
      <c r="M458" s="8">
        <v>3.2918976</v>
      </c>
      <c r="N458" s="8">
        <v>3.4010815999999999</v>
      </c>
      <c r="O458" s="8">
        <v>1.044</v>
      </c>
      <c r="P458" s="8">
        <v>0.79568499999999998</v>
      </c>
      <c r="Q458" s="8">
        <v>2.1483494999999998E-2</v>
      </c>
      <c r="R458" s="8">
        <v>1.3526645E-2</v>
      </c>
      <c r="S458" s="8">
        <v>0.1843285714285714</v>
      </c>
      <c r="T458" s="8">
        <v>1.0150237114285714</v>
      </c>
      <c r="U458" s="8">
        <v>26.340105311428573</v>
      </c>
      <c r="V458" s="8">
        <v>5.2680210622857153</v>
      </c>
      <c r="W458" s="8">
        <v>3.2918976</v>
      </c>
      <c r="X458" s="15">
        <v>28.31622877371429</v>
      </c>
      <c r="AA458">
        <v>1809.31</v>
      </c>
      <c r="AB458" t="s">
        <v>30</v>
      </c>
      <c r="AC458" t="s">
        <v>1462</v>
      </c>
      <c r="AD458">
        <v>126.67</v>
      </c>
      <c r="AE458" t="s">
        <v>1399</v>
      </c>
      <c r="AF458">
        <v>20.88</v>
      </c>
      <c r="AG458" t="s">
        <v>1399</v>
      </c>
    </row>
    <row r="459" spans="1:33" x14ac:dyDescent="0.25">
      <c r="A459" s="16" t="s">
        <v>1314</v>
      </c>
      <c r="B459" s="17" t="s">
        <v>1315</v>
      </c>
      <c r="C459" s="17" t="s">
        <v>1316</v>
      </c>
      <c r="D459" s="18"/>
      <c r="E459" s="18">
        <v>0.23599999999999999</v>
      </c>
      <c r="F459" s="18">
        <v>10</v>
      </c>
      <c r="G459" s="18">
        <v>20</v>
      </c>
      <c r="H459" s="8"/>
      <c r="I459" s="8">
        <v>0.94399999999999995</v>
      </c>
      <c r="J459" s="8"/>
      <c r="K459" s="8"/>
      <c r="L459" s="8"/>
      <c r="M459" s="8"/>
      <c r="N459" s="8"/>
      <c r="O459" s="8"/>
      <c r="P459" s="8">
        <v>1.0041799999999999</v>
      </c>
      <c r="Q459" s="8">
        <v>2.7112859999999996E-2</v>
      </c>
      <c r="R459" s="8">
        <v>1.7071059999999999E-2</v>
      </c>
      <c r="S459" s="8">
        <v>0.23262857142857138</v>
      </c>
      <c r="T459" s="8">
        <v>1.2809924914285711</v>
      </c>
      <c r="U459" s="8"/>
      <c r="V459" s="8"/>
      <c r="W459" s="8"/>
      <c r="X459" s="15"/>
      <c r="AA459">
        <v>38</v>
      </c>
      <c r="AB459" t="s">
        <v>30</v>
      </c>
      <c r="AC459" t="s">
        <v>1463</v>
      </c>
      <c r="AE459" t="s">
        <v>1400</v>
      </c>
      <c r="AG459" t="s">
        <v>1400</v>
      </c>
    </row>
    <row r="460" spans="1:33" x14ac:dyDescent="0.25">
      <c r="A460" s="13" t="s">
        <v>1317</v>
      </c>
      <c r="B460" s="14" t="s">
        <v>1318</v>
      </c>
      <c r="C460" s="14" t="s">
        <v>274</v>
      </c>
      <c r="D460" s="10">
        <v>33.450000000000003</v>
      </c>
      <c r="E460" s="10"/>
      <c r="F460" s="10">
        <v>0</v>
      </c>
      <c r="G460" s="10">
        <v>20</v>
      </c>
      <c r="H460" s="8">
        <v>0.33450000000000002</v>
      </c>
      <c r="I460" s="8"/>
      <c r="J460" s="8"/>
      <c r="K460" s="8"/>
      <c r="L460" s="8"/>
      <c r="M460" s="8"/>
      <c r="N460" s="8"/>
      <c r="O460" s="8">
        <v>1.6725000000000003</v>
      </c>
      <c r="P460" s="8"/>
      <c r="Q460" s="8"/>
      <c r="R460" s="8"/>
      <c r="S460" s="8"/>
      <c r="T460" s="8"/>
      <c r="U460" s="8"/>
      <c r="V460" s="8"/>
      <c r="W460" s="8"/>
      <c r="X460" s="15"/>
      <c r="AB460" t="s">
        <v>30</v>
      </c>
      <c r="AD460">
        <v>23.99</v>
      </c>
      <c r="AE460" t="s">
        <v>1401</v>
      </c>
      <c r="AF460">
        <v>33.450000000000003</v>
      </c>
      <c r="AG460" t="s">
        <v>1401</v>
      </c>
    </row>
    <row r="461" spans="1:33" x14ac:dyDescent="0.25">
      <c r="A461" s="16" t="s">
        <v>1319</v>
      </c>
      <c r="B461" s="17" t="s">
        <v>1320</v>
      </c>
      <c r="C461" s="17" t="s">
        <v>1316</v>
      </c>
      <c r="D461" s="18">
        <v>0</v>
      </c>
      <c r="E461" s="18"/>
      <c r="F461" s="18">
        <v>10</v>
      </c>
      <c r="G461" s="18">
        <v>20</v>
      </c>
      <c r="H461" s="8">
        <v>0</v>
      </c>
      <c r="I461" s="8"/>
      <c r="J461" s="8"/>
      <c r="K461" s="8"/>
      <c r="L461" s="8"/>
      <c r="M461" s="8"/>
      <c r="N461" s="8"/>
      <c r="O461" s="8">
        <v>0</v>
      </c>
      <c r="P461" s="8"/>
      <c r="Q461" s="8"/>
      <c r="R461" s="8"/>
      <c r="S461" s="8"/>
      <c r="T461" s="8"/>
      <c r="U461" s="8"/>
      <c r="V461" s="8"/>
      <c r="W461" s="8"/>
      <c r="X461" s="15"/>
      <c r="AB461" t="s">
        <v>30</v>
      </c>
      <c r="AE461" t="s">
        <v>1402</v>
      </c>
      <c r="AG461" t="s">
        <v>1402</v>
      </c>
    </row>
    <row r="462" spans="1:33" x14ac:dyDescent="0.25">
      <c r="A462" s="13" t="s">
        <v>1321</v>
      </c>
      <c r="B462" s="14" t="s">
        <v>1322</v>
      </c>
      <c r="C462" s="14" t="s">
        <v>274</v>
      </c>
      <c r="D462" s="10"/>
      <c r="E462" s="10">
        <v>1.4410000000000001</v>
      </c>
      <c r="F462" s="10">
        <v>0</v>
      </c>
      <c r="G462" s="10">
        <v>20</v>
      </c>
      <c r="H462" s="8"/>
      <c r="I462" s="8">
        <v>5.7640000000000002</v>
      </c>
      <c r="J462" s="8"/>
      <c r="K462" s="8"/>
      <c r="L462" s="8"/>
      <c r="M462" s="8"/>
      <c r="N462" s="8"/>
      <c r="O462" s="8"/>
      <c r="P462" s="8">
        <v>6.1314549999999999</v>
      </c>
      <c r="Q462" s="8">
        <v>0.16554928499999999</v>
      </c>
      <c r="R462" s="8">
        <v>0.10423473500000001</v>
      </c>
      <c r="S462" s="8">
        <v>1.4204142857142856</v>
      </c>
      <c r="T462" s="8">
        <v>7.8216533057142854</v>
      </c>
      <c r="U462" s="8"/>
      <c r="V462" s="8"/>
      <c r="W462" s="8"/>
      <c r="X462" s="15"/>
      <c r="AA462">
        <v>315.58999999999997</v>
      </c>
      <c r="AB462" t="s">
        <v>30</v>
      </c>
      <c r="AC462" t="s">
        <v>1464</v>
      </c>
      <c r="AE462" t="s">
        <v>1403</v>
      </c>
      <c r="AG462" t="s">
        <v>1403</v>
      </c>
    </row>
    <row r="463" spans="1:33" x14ac:dyDescent="0.25">
      <c r="A463" s="16" t="s">
        <v>1323</v>
      </c>
      <c r="B463" s="17" t="s">
        <v>1324</v>
      </c>
      <c r="C463" s="17" t="s">
        <v>1316</v>
      </c>
      <c r="D463" s="18">
        <v>53.8</v>
      </c>
      <c r="E463" s="18">
        <v>0.39700000000000002</v>
      </c>
      <c r="F463" s="18">
        <v>10</v>
      </c>
      <c r="G463" s="18">
        <v>20</v>
      </c>
      <c r="H463" s="8">
        <v>0.53800000000000003</v>
      </c>
      <c r="I463" s="8">
        <v>1.5880000000000001</v>
      </c>
      <c r="J463" s="8">
        <v>55.925999999999995</v>
      </c>
      <c r="K463" s="8">
        <v>5.5926</v>
      </c>
      <c r="L463" s="8">
        <v>0.27962999999999999</v>
      </c>
      <c r="M463" s="8">
        <v>9.2697344999999984</v>
      </c>
      <c r="N463" s="8">
        <v>15.141964499999998</v>
      </c>
      <c r="O463" s="8">
        <v>2.69</v>
      </c>
      <c r="P463" s="8">
        <v>1.689235</v>
      </c>
      <c r="Q463" s="8">
        <v>4.5609345000000003E-2</v>
      </c>
      <c r="R463" s="8">
        <v>2.8716995000000002E-2</v>
      </c>
      <c r="S463" s="8">
        <v>0.39132857142857141</v>
      </c>
      <c r="T463" s="8">
        <v>2.1548899114285711</v>
      </c>
      <c r="U463" s="8">
        <v>73.786854411428564</v>
      </c>
      <c r="V463" s="8">
        <v>14.757370882285713</v>
      </c>
      <c r="W463" s="8">
        <v>9.2697344999999984</v>
      </c>
      <c r="X463" s="15">
        <v>79.274490793714278</v>
      </c>
      <c r="AA463">
        <v>23.65</v>
      </c>
      <c r="AB463" t="s">
        <v>30</v>
      </c>
      <c r="AC463" t="s">
        <v>1465</v>
      </c>
      <c r="AD463">
        <v>53.8</v>
      </c>
      <c r="AE463" t="s">
        <v>1404</v>
      </c>
      <c r="AG463" t="s">
        <v>1404</v>
      </c>
    </row>
    <row r="464" spans="1:33" x14ac:dyDescent="0.25">
      <c r="A464" s="13" t="s">
        <v>1325</v>
      </c>
      <c r="B464" s="14" t="s">
        <v>1326</v>
      </c>
      <c r="C464" s="14" t="s">
        <v>536</v>
      </c>
      <c r="D464" s="10">
        <v>78.61</v>
      </c>
      <c r="E464" s="10">
        <v>0.13700000000000001</v>
      </c>
      <c r="F464" s="10">
        <v>0</v>
      </c>
      <c r="G464" s="10">
        <v>20</v>
      </c>
      <c r="H464" s="8">
        <v>0.78610000000000002</v>
      </c>
      <c r="I464" s="8">
        <v>0.54800000000000004</v>
      </c>
      <c r="J464" s="8">
        <v>79.944100000000006</v>
      </c>
      <c r="K464" s="8">
        <v>0</v>
      </c>
      <c r="L464" s="8">
        <v>0.39972050000000003</v>
      </c>
      <c r="M464" s="8">
        <v>12.051573075</v>
      </c>
      <c r="N464" s="8">
        <v>12.451293575000001</v>
      </c>
      <c r="O464" s="8">
        <v>3.9305000000000003</v>
      </c>
      <c r="P464" s="8">
        <v>0.58293499999999998</v>
      </c>
      <c r="Q464" s="8">
        <v>1.5739244999999999E-2</v>
      </c>
      <c r="R464" s="8">
        <v>9.9098950000000002E-3</v>
      </c>
      <c r="S464" s="8">
        <v>0.13504285714285713</v>
      </c>
      <c r="T464" s="8">
        <v>0.74362699714285707</v>
      </c>
      <c r="U464" s="8">
        <v>95.735420572142857</v>
      </c>
      <c r="V464" s="8">
        <v>19.147084114428573</v>
      </c>
      <c r="W464" s="8">
        <v>12.051573075</v>
      </c>
      <c r="X464" s="15">
        <v>102.83093161157143</v>
      </c>
      <c r="AA464">
        <v>1748.7</v>
      </c>
      <c r="AB464" t="s">
        <v>30</v>
      </c>
      <c r="AC464" t="s">
        <v>1466</v>
      </c>
      <c r="AD464">
        <v>78.61</v>
      </c>
      <c r="AE464" t="s">
        <v>1405</v>
      </c>
      <c r="AG464" t="s">
        <v>1405</v>
      </c>
    </row>
    <row r="465" spans="1:33" x14ac:dyDescent="0.25">
      <c r="A465" s="16" t="s">
        <v>1327</v>
      </c>
      <c r="B465" s="17" t="s">
        <v>56</v>
      </c>
      <c r="C465" s="17" t="s">
        <v>48</v>
      </c>
      <c r="D465" s="18">
        <v>289.12</v>
      </c>
      <c r="E465" s="18">
        <v>3.66</v>
      </c>
      <c r="F465" s="18">
        <v>15</v>
      </c>
      <c r="G465" s="18">
        <v>20</v>
      </c>
      <c r="H465" s="8">
        <v>2.8912</v>
      </c>
      <c r="I465" s="8">
        <v>14.64</v>
      </c>
      <c r="J465" s="8">
        <v>306.65120000000002</v>
      </c>
      <c r="K465" s="8">
        <v>45.997680000000003</v>
      </c>
      <c r="L465" s="8">
        <v>1.5332560000000002</v>
      </c>
      <c r="M465" s="8">
        <v>53.127320400000002</v>
      </c>
      <c r="N465" s="8">
        <v>100.6582564</v>
      </c>
      <c r="O465" s="8">
        <v>14.456000000000001</v>
      </c>
      <c r="P465" s="8">
        <v>15.573300000000001</v>
      </c>
      <c r="Q465" s="8">
        <v>0.42047910000000005</v>
      </c>
      <c r="R465" s="8">
        <v>0.26474610000000004</v>
      </c>
      <c r="S465" s="8">
        <v>3.6077142857142852</v>
      </c>
      <c r="T465" s="8">
        <v>19.866239485714285</v>
      </c>
      <c r="U465" s="8">
        <v>424.10049588571434</v>
      </c>
      <c r="V465" s="8">
        <v>84.820099177142879</v>
      </c>
      <c r="W465" s="8">
        <v>53.127320400000002</v>
      </c>
      <c r="X465" s="15">
        <v>455.79327466285724</v>
      </c>
      <c r="AA465">
        <v>215.43</v>
      </c>
      <c r="AB465" t="s">
        <v>30</v>
      </c>
      <c r="AC465" t="s">
        <v>1467</v>
      </c>
      <c r="AD465">
        <v>289.12</v>
      </c>
      <c r="AE465" t="s">
        <v>1406</v>
      </c>
      <c r="AG465" t="s">
        <v>1406</v>
      </c>
    </row>
    <row r="466" spans="1:33" ht="8.1" customHeight="1" thickBot="1" x14ac:dyDescent="0.3"/>
    <row r="467" spans="1:33" x14ac:dyDescent="0.25">
      <c r="A467" s="30" t="s">
        <v>1468</v>
      </c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</row>
    <row r="468" spans="1:33" x14ac:dyDescent="0.25">
      <c r="A468" s="13" t="s">
        <v>830</v>
      </c>
      <c r="B468" s="14" t="s">
        <v>254</v>
      </c>
      <c r="C468" s="14" t="s">
        <v>253</v>
      </c>
      <c r="D468" s="10"/>
      <c r="E468" s="10"/>
      <c r="F468" s="10">
        <v>0</v>
      </c>
      <c r="G468" s="10">
        <v>20</v>
      </c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15"/>
      <c r="AB468" t="s">
        <v>30</v>
      </c>
      <c r="AC468" t="s">
        <v>1469</v>
      </c>
      <c r="AD468">
        <v>55.46</v>
      </c>
      <c r="AE468" t="s">
        <v>919</v>
      </c>
      <c r="AF468">
        <v>39.43</v>
      </c>
      <c r="AG468" t="s">
        <v>919</v>
      </c>
    </row>
    <row r="469" spans="1:33" x14ac:dyDescent="0.25">
      <c r="A469" s="16" t="s">
        <v>831</v>
      </c>
      <c r="B469" s="17" t="s">
        <v>196</v>
      </c>
      <c r="C469" s="17" t="s">
        <v>47</v>
      </c>
      <c r="D469" s="18"/>
      <c r="E469" s="18"/>
      <c r="F469" s="18">
        <v>15</v>
      </c>
      <c r="G469" s="18">
        <v>20</v>
      </c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15"/>
      <c r="AB469" t="s">
        <v>30</v>
      </c>
      <c r="AC469" t="s">
        <v>1470</v>
      </c>
      <c r="AD469">
        <v>1952.24</v>
      </c>
      <c r="AE469" t="s">
        <v>920</v>
      </c>
      <c r="AG469" t="s">
        <v>920</v>
      </c>
    </row>
    <row r="470" spans="1:33" x14ac:dyDescent="0.25">
      <c r="A470" s="13" t="s">
        <v>832</v>
      </c>
      <c r="B470" s="14" t="s">
        <v>258</v>
      </c>
      <c r="C470" s="14" t="s">
        <v>201</v>
      </c>
      <c r="D470" s="10"/>
      <c r="E470" s="10"/>
      <c r="F470" s="10">
        <v>0</v>
      </c>
      <c r="G470" s="10">
        <v>20</v>
      </c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15"/>
      <c r="AB470" t="s">
        <v>30</v>
      </c>
      <c r="AC470" t="s">
        <v>1471</v>
      </c>
      <c r="AD470">
        <v>381.25</v>
      </c>
      <c r="AE470" t="s">
        <v>921</v>
      </c>
      <c r="AF470">
        <v>167.57</v>
      </c>
      <c r="AG470" t="s">
        <v>921</v>
      </c>
    </row>
    <row r="471" spans="1:33" x14ac:dyDescent="0.25">
      <c r="A471" s="16" t="s">
        <v>833</v>
      </c>
      <c r="B471" s="17" t="s">
        <v>834</v>
      </c>
      <c r="C471" s="17" t="s">
        <v>274</v>
      </c>
      <c r="D471" s="18"/>
      <c r="E471" s="18"/>
      <c r="F471" s="18">
        <v>0</v>
      </c>
      <c r="G471" s="18">
        <v>20</v>
      </c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15"/>
      <c r="AB471" t="s">
        <v>30</v>
      </c>
      <c r="AC471" t="s">
        <v>1472</v>
      </c>
      <c r="AD471">
        <v>55.84</v>
      </c>
      <c r="AE471" t="s">
        <v>922</v>
      </c>
      <c r="AF471">
        <v>50.01</v>
      </c>
      <c r="AG471" t="s">
        <v>922</v>
      </c>
    </row>
    <row r="472" spans="1:33" x14ac:dyDescent="0.25">
      <c r="A472" s="13" t="s">
        <v>835</v>
      </c>
      <c r="B472" s="14" t="s">
        <v>679</v>
      </c>
      <c r="C472" s="19"/>
      <c r="D472" s="10"/>
      <c r="E472" s="10"/>
      <c r="F472" s="10"/>
      <c r="G472" s="10">
        <v>20</v>
      </c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15"/>
      <c r="AB472" t="s">
        <v>30</v>
      </c>
      <c r="AC472" t="s">
        <v>1473</v>
      </c>
      <c r="AD472">
        <v>107.98</v>
      </c>
      <c r="AE472" t="s">
        <v>923</v>
      </c>
      <c r="AF472">
        <v>315.89999999999998</v>
      </c>
      <c r="AG472" t="s">
        <v>923</v>
      </c>
    </row>
    <row r="473" spans="1:33" x14ac:dyDescent="0.25">
      <c r="A473" s="16" t="s">
        <v>836</v>
      </c>
      <c r="B473" s="17" t="s">
        <v>837</v>
      </c>
      <c r="C473" s="17" t="s">
        <v>85</v>
      </c>
      <c r="D473" s="18"/>
      <c r="E473" s="18"/>
      <c r="F473" s="18">
        <v>20</v>
      </c>
      <c r="G473" s="18">
        <v>20</v>
      </c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15"/>
      <c r="AB473" t="s">
        <v>30</v>
      </c>
      <c r="AC473" t="s">
        <v>1474</v>
      </c>
      <c r="AD473">
        <v>65</v>
      </c>
      <c r="AE473" t="s">
        <v>924</v>
      </c>
      <c r="AF473">
        <v>36.299999999999997</v>
      </c>
      <c r="AG473" t="s">
        <v>924</v>
      </c>
    </row>
    <row r="474" spans="1:33" x14ac:dyDescent="0.25">
      <c r="A474" s="13" t="s">
        <v>838</v>
      </c>
      <c r="B474" s="14" t="s">
        <v>84</v>
      </c>
      <c r="C474" s="14" t="s">
        <v>85</v>
      </c>
      <c r="D474" s="10"/>
      <c r="E474" s="10"/>
      <c r="F474" s="10">
        <v>20</v>
      </c>
      <c r="G474" s="10">
        <v>20</v>
      </c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15"/>
      <c r="AB474" t="s">
        <v>30</v>
      </c>
      <c r="AC474" t="s">
        <v>1475</v>
      </c>
      <c r="AD474">
        <v>217.5</v>
      </c>
      <c r="AE474" t="s">
        <v>925</v>
      </c>
      <c r="AG474" t="s">
        <v>925</v>
      </c>
    </row>
    <row r="475" spans="1:33" x14ac:dyDescent="0.25">
      <c r="A475" s="16" t="s">
        <v>843</v>
      </c>
      <c r="B475" s="17" t="s">
        <v>844</v>
      </c>
      <c r="C475" s="19"/>
      <c r="D475" s="18"/>
      <c r="E475" s="18"/>
      <c r="F475" s="18"/>
      <c r="G475" s="18">
        <v>20</v>
      </c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15"/>
      <c r="AB475" t="s">
        <v>30</v>
      </c>
      <c r="AC475" t="s">
        <v>1476</v>
      </c>
      <c r="AE475" t="s">
        <v>928</v>
      </c>
      <c r="AG475" t="s">
        <v>928</v>
      </c>
    </row>
    <row r="476" spans="1:33" x14ac:dyDescent="0.25">
      <c r="A476" s="13" t="s">
        <v>845</v>
      </c>
      <c r="B476" s="14" t="s">
        <v>124</v>
      </c>
      <c r="C476" s="14" t="s">
        <v>125</v>
      </c>
      <c r="D476" s="10"/>
      <c r="E476" s="10"/>
      <c r="F476" s="10">
        <v>0</v>
      </c>
      <c r="G476" s="10">
        <v>20</v>
      </c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15"/>
      <c r="AB476" t="s">
        <v>30</v>
      </c>
      <c r="AC476" t="s">
        <v>1477</v>
      </c>
      <c r="AD476">
        <v>868.4</v>
      </c>
      <c r="AE476" t="s">
        <v>929</v>
      </c>
      <c r="AG476" t="s">
        <v>929</v>
      </c>
    </row>
    <row r="477" spans="1:33" x14ac:dyDescent="0.25">
      <c r="A477" s="16" t="s">
        <v>846</v>
      </c>
      <c r="B477" s="17" t="s">
        <v>87</v>
      </c>
      <c r="C477" s="17" t="s">
        <v>41</v>
      </c>
      <c r="D477" s="18"/>
      <c r="E477" s="18"/>
      <c r="F477" s="18">
        <v>15</v>
      </c>
      <c r="G477" s="18">
        <v>20</v>
      </c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15"/>
      <c r="AB477" t="s">
        <v>30</v>
      </c>
      <c r="AC477" t="s">
        <v>1478</v>
      </c>
      <c r="AD477">
        <v>483.94</v>
      </c>
      <c r="AE477" t="s">
        <v>930</v>
      </c>
      <c r="AG477" t="s">
        <v>930</v>
      </c>
    </row>
    <row r="478" spans="1:33" x14ac:dyDescent="0.25">
      <c r="A478" s="13" t="s">
        <v>847</v>
      </c>
      <c r="B478" s="14" t="s">
        <v>848</v>
      </c>
      <c r="C478" s="14" t="s">
        <v>90</v>
      </c>
      <c r="D478" s="10"/>
      <c r="E478" s="10"/>
      <c r="F478" s="10">
        <v>15</v>
      </c>
      <c r="G478" s="10">
        <v>20</v>
      </c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15"/>
      <c r="AB478" t="s">
        <v>30</v>
      </c>
      <c r="AC478" t="s">
        <v>1479</v>
      </c>
      <c r="AE478" t="s">
        <v>931</v>
      </c>
      <c r="AF478">
        <v>157.66</v>
      </c>
      <c r="AG478" t="s">
        <v>931</v>
      </c>
    </row>
    <row r="479" spans="1:33" x14ac:dyDescent="0.25">
      <c r="A479" s="16" t="s">
        <v>849</v>
      </c>
      <c r="B479" s="17" t="s">
        <v>850</v>
      </c>
      <c r="C479" s="17" t="s">
        <v>90</v>
      </c>
      <c r="D479" s="18"/>
      <c r="E479" s="18"/>
      <c r="F479" s="18">
        <v>15</v>
      </c>
      <c r="G479" s="18">
        <v>20</v>
      </c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15"/>
      <c r="AB479" t="s">
        <v>30</v>
      </c>
      <c r="AC479" t="s">
        <v>1480</v>
      </c>
      <c r="AD479">
        <v>88.85</v>
      </c>
      <c r="AE479" t="s">
        <v>932</v>
      </c>
      <c r="AF479">
        <v>100.5</v>
      </c>
      <c r="AG479" t="s">
        <v>932</v>
      </c>
    </row>
    <row r="480" spans="1:33" x14ac:dyDescent="0.25">
      <c r="A480" s="13" t="s">
        <v>851</v>
      </c>
      <c r="B480" s="14" t="s">
        <v>852</v>
      </c>
      <c r="C480" s="14" t="s">
        <v>80</v>
      </c>
      <c r="D480" s="10"/>
      <c r="E480" s="10"/>
      <c r="F480" s="10">
        <v>8</v>
      </c>
      <c r="G480" s="10">
        <v>20</v>
      </c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15"/>
      <c r="AB480" t="s">
        <v>30</v>
      </c>
      <c r="AC480" t="s">
        <v>1481</v>
      </c>
      <c r="AD480">
        <v>69.459999999999994</v>
      </c>
      <c r="AE480" t="s">
        <v>933</v>
      </c>
      <c r="AG480" t="s">
        <v>933</v>
      </c>
    </row>
    <row r="481" spans="1:33" x14ac:dyDescent="0.25">
      <c r="A481" s="16" t="s">
        <v>853</v>
      </c>
      <c r="B481" s="17" t="s">
        <v>854</v>
      </c>
      <c r="C481" s="17" t="s">
        <v>80</v>
      </c>
      <c r="D481" s="18"/>
      <c r="E481" s="18"/>
      <c r="F481" s="18">
        <v>8</v>
      </c>
      <c r="G481" s="18">
        <v>20</v>
      </c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15"/>
      <c r="AB481" t="s">
        <v>30</v>
      </c>
      <c r="AC481" t="s">
        <v>1482</v>
      </c>
      <c r="AD481">
        <v>53.23</v>
      </c>
      <c r="AE481" t="s">
        <v>934</v>
      </c>
      <c r="AF481">
        <v>63.17</v>
      </c>
      <c r="AG481" t="s">
        <v>934</v>
      </c>
    </row>
    <row r="482" spans="1:33" x14ac:dyDescent="0.25">
      <c r="A482" s="13" t="s">
        <v>855</v>
      </c>
      <c r="B482" s="14" t="s">
        <v>267</v>
      </c>
      <c r="C482" s="14" t="s">
        <v>268</v>
      </c>
      <c r="D482" s="10"/>
      <c r="E482" s="10"/>
      <c r="F482" s="10">
        <v>5</v>
      </c>
      <c r="G482" s="10">
        <v>20</v>
      </c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15"/>
      <c r="AB482" t="s">
        <v>30</v>
      </c>
      <c r="AC482" t="s">
        <v>1483</v>
      </c>
      <c r="AE482" t="s">
        <v>935</v>
      </c>
      <c r="AF482">
        <v>66.790000000000006</v>
      </c>
      <c r="AG482" t="s">
        <v>935</v>
      </c>
    </row>
    <row r="483" spans="1:33" x14ac:dyDescent="0.25">
      <c r="A483" s="16" t="s">
        <v>858</v>
      </c>
      <c r="B483" s="17" t="s">
        <v>859</v>
      </c>
      <c r="C483" s="17" t="s">
        <v>41</v>
      </c>
      <c r="D483" s="18"/>
      <c r="E483" s="18"/>
      <c r="F483" s="18">
        <v>15</v>
      </c>
      <c r="G483" s="18">
        <v>20</v>
      </c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15"/>
      <c r="AB483" t="s">
        <v>30</v>
      </c>
      <c r="AC483" t="s">
        <v>1484</v>
      </c>
      <c r="AD483">
        <v>42.83</v>
      </c>
      <c r="AE483" t="s">
        <v>937</v>
      </c>
      <c r="AG483" t="s">
        <v>937</v>
      </c>
    </row>
    <row r="484" spans="1:33" x14ac:dyDescent="0.25">
      <c r="A484" s="13" t="s">
        <v>862</v>
      </c>
      <c r="B484" s="14" t="s">
        <v>789</v>
      </c>
      <c r="C484" s="14" t="s">
        <v>790</v>
      </c>
      <c r="D484" s="10"/>
      <c r="E484" s="10"/>
      <c r="F484" s="10">
        <v>10</v>
      </c>
      <c r="G484" s="10">
        <v>20</v>
      </c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15"/>
      <c r="AB484" t="s">
        <v>30</v>
      </c>
      <c r="AC484" t="s">
        <v>1485</v>
      </c>
      <c r="AE484" t="s">
        <v>939</v>
      </c>
      <c r="AG484" t="s">
        <v>939</v>
      </c>
    </row>
    <row r="485" spans="1:33" x14ac:dyDescent="0.25">
      <c r="A485" s="16" t="s">
        <v>863</v>
      </c>
      <c r="B485" s="17" t="s">
        <v>52</v>
      </c>
      <c r="C485" s="17" t="s">
        <v>41</v>
      </c>
      <c r="D485" s="18"/>
      <c r="E485" s="18"/>
      <c r="F485" s="18">
        <v>15</v>
      </c>
      <c r="G485" s="18">
        <v>20</v>
      </c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15"/>
      <c r="AB485" t="s">
        <v>30</v>
      </c>
      <c r="AC485" t="s">
        <v>1486</v>
      </c>
      <c r="AE485" t="s">
        <v>940</v>
      </c>
      <c r="AG485" t="s">
        <v>940</v>
      </c>
    </row>
    <row r="486" spans="1:33" x14ac:dyDescent="0.25">
      <c r="A486" s="13" t="s">
        <v>868</v>
      </c>
      <c r="B486" s="14" t="s">
        <v>869</v>
      </c>
      <c r="C486" s="19"/>
      <c r="D486" s="10"/>
      <c r="E486" s="10"/>
      <c r="F486" s="10"/>
      <c r="G486" s="10">
        <v>20</v>
      </c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15"/>
      <c r="AB486" t="s">
        <v>30</v>
      </c>
      <c r="AC486" t="s">
        <v>1487</v>
      </c>
      <c r="AE486" t="s">
        <v>943</v>
      </c>
      <c r="AG486" t="s">
        <v>943</v>
      </c>
    </row>
    <row r="487" spans="1:33" x14ac:dyDescent="0.25">
      <c r="A487" s="16" t="s">
        <v>874</v>
      </c>
      <c r="B487" s="17" t="s">
        <v>42</v>
      </c>
      <c r="C487" s="19"/>
      <c r="D487" s="18"/>
      <c r="E487" s="18"/>
      <c r="F487" s="18"/>
      <c r="G487" s="18">
        <v>20</v>
      </c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15"/>
      <c r="AB487" t="s">
        <v>30</v>
      </c>
      <c r="AC487" t="s">
        <v>1488</v>
      </c>
      <c r="AD487">
        <v>170.59</v>
      </c>
      <c r="AE487" t="s">
        <v>946</v>
      </c>
      <c r="AG487" t="s">
        <v>946</v>
      </c>
    </row>
    <row r="488" spans="1:33" x14ac:dyDescent="0.25">
      <c r="A488" s="13" t="s">
        <v>61</v>
      </c>
      <c r="B488" s="14" t="s">
        <v>62</v>
      </c>
      <c r="C488" s="14" t="s">
        <v>48</v>
      </c>
      <c r="D488" s="10"/>
      <c r="E488" s="10"/>
      <c r="F488" s="10">
        <v>15</v>
      </c>
      <c r="G488" s="10">
        <v>20</v>
      </c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15"/>
      <c r="AB488" t="s">
        <v>30</v>
      </c>
      <c r="AC488" t="s">
        <v>1489</v>
      </c>
      <c r="AD488">
        <v>100.76</v>
      </c>
      <c r="AE488" t="s">
        <v>71</v>
      </c>
      <c r="AG488" t="s">
        <v>71</v>
      </c>
    </row>
    <row r="489" spans="1:33" x14ac:dyDescent="0.25">
      <c r="A489" s="16" t="s">
        <v>877</v>
      </c>
      <c r="B489" s="17" t="s">
        <v>878</v>
      </c>
      <c r="C489" s="17" t="s">
        <v>782</v>
      </c>
      <c r="D489" s="18"/>
      <c r="E489" s="18"/>
      <c r="F489" s="18">
        <v>0</v>
      </c>
      <c r="G489" s="18">
        <v>20</v>
      </c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15"/>
      <c r="AB489" t="s">
        <v>30</v>
      </c>
      <c r="AC489" t="s">
        <v>1490</v>
      </c>
      <c r="AE489" t="s">
        <v>948</v>
      </c>
      <c r="AF489">
        <v>128.54</v>
      </c>
      <c r="AG489" t="s">
        <v>948</v>
      </c>
    </row>
    <row r="490" spans="1:33" x14ac:dyDescent="0.25">
      <c r="A490" s="13" t="s">
        <v>881</v>
      </c>
      <c r="B490" s="14" t="s">
        <v>882</v>
      </c>
      <c r="C490" s="14" t="s">
        <v>41</v>
      </c>
      <c r="D490" s="10"/>
      <c r="E490" s="10"/>
      <c r="F490" s="10">
        <v>15</v>
      </c>
      <c r="G490" s="10">
        <v>20</v>
      </c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15"/>
      <c r="AB490" t="s">
        <v>30</v>
      </c>
      <c r="AC490" t="s">
        <v>1491</v>
      </c>
      <c r="AD490">
        <v>120</v>
      </c>
      <c r="AE490" t="s">
        <v>950</v>
      </c>
      <c r="AG490" t="s">
        <v>950</v>
      </c>
    </row>
    <row r="491" spans="1:33" x14ac:dyDescent="0.25">
      <c r="A491" s="16" t="s">
        <v>883</v>
      </c>
      <c r="B491" s="17" t="s">
        <v>884</v>
      </c>
      <c r="C491" s="17" t="s">
        <v>274</v>
      </c>
      <c r="D491" s="18"/>
      <c r="E491" s="18"/>
      <c r="F491" s="18">
        <v>0</v>
      </c>
      <c r="G491" s="18">
        <v>20</v>
      </c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15"/>
      <c r="AB491" t="s">
        <v>30</v>
      </c>
      <c r="AC491" t="s">
        <v>1492</v>
      </c>
      <c r="AD491">
        <v>109.92</v>
      </c>
      <c r="AE491" t="s">
        <v>951</v>
      </c>
      <c r="AG491" t="s">
        <v>951</v>
      </c>
    </row>
    <row r="492" spans="1:33" x14ac:dyDescent="0.25">
      <c r="A492" s="13" t="s">
        <v>885</v>
      </c>
      <c r="B492" s="14" t="s">
        <v>95</v>
      </c>
      <c r="C492" s="14" t="s">
        <v>41</v>
      </c>
      <c r="D492" s="10"/>
      <c r="E492" s="10"/>
      <c r="F492" s="10">
        <v>15</v>
      </c>
      <c r="G492" s="10">
        <v>20</v>
      </c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15"/>
      <c r="AB492" t="s">
        <v>30</v>
      </c>
      <c r="AC492" t="s">
        <v>1493</v>
      </c>
      <c r="AE492" t="s">
        <v>952</v>
      </c>
      <c r="AG492" t="s">
        <v>952</v>
      </c>
    </row>
    <row r="493" spans="1:33" x14ac:dyDescent="0.25">
      <c r="A493" s="16" t="s">
        <v>886</v>
      </c>
      <c r="B493" s="17" t="s">
        <v>273</v>
      </c>
      <c r="C493" s="17" t="s">
        <v>274</v>
      </c>
      <c r="D493" s="18"/>
      <c r="E493" s="18"/>
      <c r="F493" s="18">
        <v>0</v>
      </c>
      <c r="G493" s="18">
        <v>20</v>
      </c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15"/>
      <c r="AB493" t="s">
        <v>30</v>
      </c>
      <c r="AC493" t="s">
        <v>1494</v>
      </c>
      <c r="AE493" t="s">
        <v>953</v>
      </c>
      <c r="AG493" t="s">
        <v>953</v>
      </c>
    </row>
    <row r="494" spans="1:33" x14ac:dyDescent="0.25">
      <c r="A494" s="13" t="s">
        <v>887</v>
      </c>
      <c r="B494" s="14" t="s">
        <v>888</v>
      </c>
      <c r="C494" s="14" t="s">
        <v>48</v>
      </c>
      <c r="D494" s="10"/>
      <c r="E494" s="10"/>
      <c r="F494" s="10">
        <v>15</v>
      </c>
      <c r="G494" s="10">
        <v>20</v>
      </c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15"/>
      <c r="AB494" t="s">
        <v>30</v>
      </c>
      <c r="AC494" t="s">
        <v>1495</v>
      </c>
      <c r="AD494">
        <v>135.22</v>
      </c>
      <c r="AE494" t="s">
        <v>954</v>
      </c>
      <c r="AF494">
        <v>166.44</v>
      </c>
      <c r="AG494" t="s">
        <v>954</v>
      </c>
    </row>
    <row r="495" spans="1:33" x14ac:dyDescent="0.25">
      <c r="A495" s="16" t="s">
        <v>901</v>
      </c>
      <c r="B495" s="17" t="s">
        <v>165</v>
      </c>
      <c r="C495" s="17" t="s">
        <v>48</v>
      </c>
      <c r="D495" s="18"/>
      <c r="E495" s="18"/>
      <c r="F495" s="18">
        <v>15</v>
      </c>
      <c r="G495" s="18">
        <v>20</v>
      </c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15"/>
      <c r="AB495" t="s">
        <v>30</v>
      </c>
      <c r="AC495" t="s">
        <v>1496</v>
      </c>
      <c r="AD495">
        <v>173.06</v>
      </c>
      <c r="AE495" t="s">
        <v>961</v>
      </c>
      <c r="AF495">
        <v>309.89999999999998</v>
      </c>
      <c r="AG495" t="s">
        <v>961</v>
      </c>
    </row>
    <row r="496" spans="1:33" x14ac:dyDescent="0.25">
      <c r="A496" s="13" t="s">
        <v>902</v>
      </c>
      <c r="B496" s="14" t="s">
        <v>903</v>
      </c>
      <c r="C496" s="14" t="s">
        <v>48</v>
      </c>
      <c r="D496" s="10"/>
      <c r="E496" s="10"/>
      <c r="F496" s="10">
        <v>15</v>
      </c>
      <c r="G496" s="10">
        <v>20</v>
      </c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15"/>
      <c r="AB496" t="s">
        <v>30</v>
      </c>
      <c r="AC496" t="s">
        <v>1497</v>
      </c>
      <c r="AD496">
        <v>43.38</v>
      </c>
      <c r="AE496" t="s">
        <v>962</v>
      </c>
      <c r="AG496" t="s">
        <v>962</v>
      </c>
    </row>
    <row r="497" spans="1:33" x14ac:dyDescent="0.25">
      <c r="A497" s="16" t="s">
        <v>904</v>
      </c>
      <c r="B497" s="17" t="s">
        <v>276</v>
      </c>
      <c r="C497" s="17" t="s">
        <v>41</v>
      </c>
      <c r="D497" s="18"/>
      <c r="E497" s="18"/>
      <c r="F497" s="18">
        <v>15</v>
      </c>
      <c r="G497" s="18">
        <v>20</v>
      </c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15"/>
      <c r="AB497" t="s">
        <v>30</v>
      </c>
      <c r="AC497" t="s">
        <v>1498</v>
      </c>
      <c r="AE497" t="s">
        <v>963</v>
      </c>
      <c r="AF497">
        <v>27</v>
      </c>
      <c r="AG497" t="s">
        <v>963</v>
      </c>
    </row>
    <row r="498" spans="1:33" x14ac:dyDescent="0.25">
      <c r="A498" s="13" t="s">
        <v>905</v>
      </c>
      <c r="B498" s="14" t="s">
        <v>906</v>
      </c>
      <c r="C498" s="14" t="s">
        <v>170</v>
      </c>
      <c r="D498" s="10"/>
      <c r="E498" s="10"/>
      <c r="F498" s="10">
        <v>0</v>
      </c>
      <c r="G498" s="10">
        <v>20</v>
      </c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15"/>
      <c r="AB498" t="s">
        <v>30</v>
      </c>
      <c r="AC498" t="s">
        <v>1499</v>
      </c>
      <c r="AE498" t="s">
        <v>964</v>
      </c>
      <c r="AG498" t="s">
        <v>964</v>
      </c>
    </row>
    <row r="499" spans="1:33" x14ac:dyDescent="0.25">
      <c r="A499" s="16" t="s">
        <v>911</v>
      </c>
      <c r="B499" s="17" t="s">
        <v>912</v>
      </c>
      <c r="C499" s="17" t="s">
        <v>260</v>
      </c>
      <c r="D499" s="18"/>
      <c r="E499" s="18"/>
      <c r="F499" s="18">
        <v>0</v>
      </c>
      <c r="G499" s="18">
        <v>20</v>
      </c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15"/>
      <c r="AB499" t="s">
        <v>30</v>
      </c>
      <c r="AC499" t="s">
        <v>1500</v>
      </c>
      <c r="AD499">
        <v>67.87</v>
      </c>
      <c r="AE499" t="s">
        <v>967</v>
      </c>
      <c r="AG499" t="s">
        <v>967</v>
      </c>
    </row>
    <row r="500" spans="1:33" x14ac:dyDescent="0.25">
      <c r="A500" s="13" t="s">
        <v>913</v>
      </c>
      <c r="B500" s="14" t="s">
        <v>914</v>
      </c>
      <c r="C500" s="14" t="s">
        <v>915</v>
      </c>
      <c r="D500" s="10"/>
      <c r="E500" s="10"/>
      <c r="F500" s="10">
        <v>5</v>
      </c>
      <c r="G500" s="10">
        <v>20</v>
      </c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15"/>
      <c r="AB500" t="s">
        <v>30</v>
      </c>
      <c r="AC500" t="s">
        <v>1501</v>
      </c>
      <c r="AD500">
        <v>60.38</v>
      </c>
      <c r="AE500" t="s">
        <v>968</v>
      </c>
      <c r="AG500" t="s">
        <v>968</v>
      </c>
    </row>
    <row r="501" spans="1:33" x14ac:dyDescent="0.25">
      <c r="A501" s="16" t="s">
        <v>916</v>
      </c>
      <c r="B501" s="17" t="s">
        <v>917</v>
      </c>
      <c r="C501" s="17" t="s">
        <v>80</v>
      </c>
      <c r="D501" s="18"/>
      <c r="E501" s="18"/>
      <c r="F501" s="18">
        <v>8</v>
      </c>
      <c r="G501" s="18">
        <v>20</v>
      </c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15"/>
      <c r="AB501" t="s">
        <v>30</v>
      </c>
      <c r="AC501" t="s">
        <v>1502</v>
      </c>
      <c r="AD501">
        <v>128.46</v>
      </c>
      <c r="AE501" t="s">
        <v>969</v>
      </c>
      <c r="AG501" t="s">
        <v>969</v>
      </c>
    </row>
    <row r="502" spans="1:33" x14ac:dyDescent="0.25">
      <c r="A502" s="13" t="s">
        <v>918</v>
      </c>
      <c r="B502" s="14" t="s">
        <v>56</v>
      </c>
      <c r="C502" s="14" t="s">
        <v>48</v>
      </c>
      <c r="D502" s="10"/>
      <c r="E502" s="10"/>
      <c r="F502" s="10">
        <v>15</v>
      </c>
      <c r="G502" s="10">
        <v>20</v>
      </c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15"/>
      <c r="AB502" t="s">
        <v>30</v>
      </c>
      <c r="AC502" t="s">
        <v>1503</v>
      </c>
      <c r="AD502">
        <v>202.22</v>
      </c>
      <c r="AE502" t="s">
        <v>970</v>
      </c>
      <c r="AG502" t="s">
        <v>970</v>
      </c>
    </row>
  </sheetData>
  <mergeCells count="24">
    <mergeCell ref="A24:Y24"/>
    <mergeCell ref="A36:Y36"/>
    <mergeCell ref="A467:Y467"/>
    <mergeCell ref="A195:Y195"/>
    <mergeCell ref="A254:Y254"/>
    <mergeCell ref="A324:Y324"/>
    <mergeCell ref="A1:Y1"/>
    <mergeCell ref="A3:Y3"/>
    <mergeCell ref="A5:Y5"/>
    <mergeCell ref="A14:Y14"/>
    <mergeCell ref="A163:Y163"/>
    <mergeCell ref="A129:Y129"/>
    <mergeCell ref="A62:Y62"/>
    <mergeCell ref="A80:Y80"/>
    <mergeCell ref="A85:Y85"/>
    <mergeCell ref="A90:Y90"/>
    <mergeCell ref="A118:Y118"/>
    <mergeCell ref="A41:Y41"/>
    <mergeCell ref="A19:Y19"/>
    <mergeCell ref="A381:Y381"/>
    <mergeCell ref="A269:Y269"/>
    <mergeCell ref="A235:Y235"/>
    <mergeCell ref="A202:Y202"/>
    <mergeCell ref="A218:Y21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COTIZACION</vt:lpstr>
      <vt:lpstr>HISTORICO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Juan Guerra Páez</cp:lastModifiedBy>
  <dcterms:created xsi:type="dcterms:W3CDTF">2026-06-26T12:40:27Z</dcterms:created>
  <dcterms:modified xsi:type="dcterms:W3CDTF">2026-10-07T17:51:02Z</dcterms:modified>
</cp:coreProperties>
</file>