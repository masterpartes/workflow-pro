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an Guerra\Desktop\workflow-pro\"/>
    </mc:Choice>
  </mc:AlternateContent>
  <xr:revisionPtr revIDLastSave="0" documentId="13_ncr:1_{4FC5A1EF-99A7-446F-9425-AB10346BD989}" xr6:coauthVersionLast="47" xr6:coauthVersionMax="47" xr10:uidLastSave="{00000000-0000-0000-0000-000000000000}"/>
  <bookViews>
    <workbookView xWindow="11190" yWindow="1365" windowWidth="13125" windowHeight="13965" activeTab="1" xr2:uid="{00000000-000D-0000-FFFF-FFFF00000000}"/>
  </bookViews>
  <sheets>
    <sheet name="CONFIG" sheetId="1" r:id="rId1"/>
    <sheet name="COTIZACION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6" i="2" l="1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S4" i="2"/>
  <c r="P4" i="2"/>
  <c r="O4" i="2"/>
  <c r="I4" i="2"/>
  <c r="H4" i="2"/>
  <c r="G4" i="2"/>
  <c r="Q4" i="2" l="1"/>
  <c r="R4" i="2"/>
  <c r="J4" i="2"/>
  <c r="T4" i="2" l="1"/>
  <c r="K4" i="2"/>
  <c r="L4" i="2"/>
  <c r="M4" i="2" l="1"/>
  <c r="N4" i="2" l="1"/>
  <c r="U4" i="2" s="1"/>
  <c r="W4" i="2"/>
  <c r="V4" i="2" l="1"/>
  <c r="X4" i="2"/>
</calcChain>
</file>

<file path=xl/sharedStrings.xml><?xml version="1.0" encoding="utf-8"?>
<sst xmlns="http://schemas.openxmlformats.org/spreadsheetml/2006/main" count="44" uniqueCount="42">
  <si>
    <t>PARÁMETROS GLOBALES</t>
  </si>
  <si>
    <t>IVA (%)</t>
  </si>
  <si>
    <t>ISD (%)</t>
  </si>
  <si>
    <t>MARGEN_DEFAULT (%)</t>
  </si>
  <si>
    <t>COTIZACIÓN MASIVA — MASTER PARTES</t>
  </si>
  <si>
    <t>PARTE</t>
  </si>
  <si>
    <t>DESCRIPCION</t>
  </si>
  <si>
    <t>SUBPARTIDA</t>
  </si>
  <si>
    <t>FOB ($)</t>
  </si>
  <si>
    <t>PESO (kg)</t>
  </si>
  <si>
    <t>ARANCEL (%)</t>
  </si>
  <si>
    <t>MARGEN (%)</t>
  </si>
  <si>
    <t>INSURANCE</t>
  </si>
  <si>
    <t>FREIGHT</t>
  </si>
  <si>
    <t>CIF</t>
  </si>
  <si>
    <t>ADVALOREM</t>
  </si>
  <si>
    <t>FONDINFA</t>
  </si>
  <si>
    <t>IVA_ADUANA</t>
  </si>
  <si>
    <t>TOTAL_ADUANA</t>
  </si>
  <si>
    <t>SALIDA_DIVISAS</t>
  </si>
  <si>
    <t>FLETE_SIATI</t>
  </si>
  <si>
    <t>FUEL_COURIER</t>
  </si>
  <si>
    <t>RAYOS_X</t>
  </si>
  <si>
    <t>TRAMITE</t>
  </si>
  <si>
    <t>TOTAL_SIATI</t>
  </si>
  <si>
    <t>PRECIO_UIO</t>
  </si>
  <si>
    <t>GANANCIA</t>
  </si>
  <si>
    <t>CREDITO_IVA</t>
  </si>
  <si>
    <t>PRECIO_OFERTA</t>
  </si>
  <si>
    <t>IMPORTADO</t>
  </si>
  <si>
    <t>68404445AB</t>
  </si>
  <si>
    <t>PARACHOQUES TRA.</t>
  </si>
  <si>
    <t>68299104AE</t>
  </si>
  <si>
    <t>REC.PARACHOQUES TRA.</t>
  </si>
  <si>
    <t>68309767AA</t>
  </si>
  <si>
    <t>SOP.PARACHOQUES TR.</t>
  </si>
  <si>
    <t>COT. 5489  |  S0075790  |  Latina Seguros  |  GTM4168 (2022)  |  1C6RRFFG6NN395906  |  Mavesa - Guayaquil 2</t>
  </si>
  <si>
    <t>N/A</t>
  </si>
  <si>
    <t>OEM_MSRP ($)</t>
  </si>
  <si>
    <t>OEM_PRECIO ($)</t>
  </si>
  <si>
    <t>VIN_FITS</t>
  </si>
  <si>
    <t>OEM_URL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</si>
</sst>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dd/mm/yyyy\ hh:mm"/>
    <numFmt numFmtId="166" formatCode="#,##0.000"/>
  </numFmts>
  <fonts count="11" x14ac:knownFonts="1">
    <font>
      <sz val="11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4"/>
      <color rgb="FFFFFFFF"/>
      <name val="Arial"/>
      <family val="2"/>
    </font>
    <font>
      <b/>
      <sz val="9"/>
      <color rgb="FFFFFFFF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9"/>
      <color rgb="FFB4B4B4"/>
      <name val="Arial"/>
      <family val="2"/>
    </font>
    <font>
      <sz val="10"/>
      <color theme="1"/>
      <name val="Arial"/>
      <family val="2"/>
    </font>
    <font>
      <sz val="10"/>
      <color rgb="FF0000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2E75B6"/>
      </patternFill>
    </fill>
    <fill>
      <patternFill patternType="solid">
        <fgColor rgb="FF404040"/>
      </patternFill>
    </fill>
    <fill>
      <patternFill patternType="solid">
        <fgColor rgb="FFC55A11"/>
      </patternFill>
    </fill>
    <fill>
      <patternFill patternType="solid">
        <fgColor rgb="FF7B7B7B"/>
      </patternFill>
    </fill>
    <fill>
      <patternFill patternType="solid">
        <fgColor rgb="FF1F4E7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5F9FF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DCDCDC"/>
      </top>
      <bottom style="thin">
        <color rgb="FFDCDCDC"/>
      </bottom>
      <diagonal/>
    </border>
    <border>
      <left/>
      <right/>
      <top style="thin">
        <color rgb="FFDCDCDC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164" fontId="3" fillId="0" borderId="0" xfId="0" applyNumberFormat="1" applyFont="1" applyAlignment="1">
      <alignment horizontal="center"/>
    </xf>
    <xf numFmtId="0" fontId="5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165" fontId="8" fillId="7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/>
    </xf>
    <xf numFmtId="0" fontId="10" fillId="0" borderId="3" xfId="0" applyFont="1" applyBorder="1" applyAlignment="1">
      <alignment horizontal="left"/>
    </xf>
    <xf numFmtId="4" fontId="10" fillId="0" borderId="0" xfId="0" applyNumberFormat="1" applyFont="1" applyAlignment="1">
      <alignment horizontal="right"/>
    </xf>
    <xf numFmtId="166" fontId="10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4" fontId="10" fillId="0" borderId="3" xfId="0" applyNumberFormat="1" applyFont="1" applyBorder="1" applyAlignment="1">
      <alignment horizontal="right"/>
    </xf>
    <xf numFmtId="166" fontId="10" fillId="0" borderId="3" xfId="0" applyNumberFormat="1" applyFont="1" applyBorder="1" applyAlignment="1">
      <alignment horizontal="right"/>
    </xf>
    <xf numFmtId="164" fontId="10" fillId="0" borderId="3" xfId="0" applyNumberFormat="1" applyFont="1" applyBorder="1" applyAlignment="1">
      <alignment horizontal="right"/>
    </xf>
    <xf numFmtId="4" fontId="9" fillId="0" borderId="0" xfId="0" applyNumberFormat="1" applyFont="1" applyAlignment="1">
      <alignment horizontal="right"/>
    </xf>
    <xf numFmtId="4" fontId="9" fillId="0" borderId="3" xfId="0" applyNumberFormat="1" applyFont="1" applyBorder="1" applyAlignment="1">
      <alignment horizontal="right"/>
    </xf>
    <xf numFmtId="4" fontId="6" fillId="0" borderId="0" xfId="0" applyNumberFormat="1" applyFont="1" applyAlignment="1">
      <alignment horizontal="right"/>
    </xf>
    <xf numFmtId="4" fontId="6" fillId="0" borderId="3" xfId="0" applyNumberFormat="1" applyFont="1" applyBorder="1" applyAlignment="1">
      <alignment horizontal="right"/>
    </xf>
    <xf numFmtId="4" fontId="6" fillId="8" borderId="0" xfId="0" applyNumberFormat="1" applyFont="1" applyFill="1" applyAlignment="1">
      <alignment horizontal="right"/>
    </xf>
    <xf numFmtId="4" fontId="6" fillId="8" borderId="3" xfId="0" applyNumberFormat="1" applyFont="1" applyFill="1" applyBorder="1" applyAlignment="1">
      <alignment horizontal="right"/>
    </xf>
    <xf numFmtId="0" fontId="10" fillId="9" borderId="4" xfId="0" applyFont="1" applyFill="1" applyBorder="1" applyAlignment="1">
      <alignment horizontal="left"/>
    </xf>
    <xf numFmtId="4" fontId="10" fillId="9" borderId="4" xfId="0" applyNumberFormat="1" applyFont="1" applyFill="1" applyBorder="1" applyAlignment="1">
      <alignment horizontal="right"/>
    </xf>
    <xf numFmtId="166" fontId="10" fillId="9" borderId="4" xfId="0" applyNumberFormat="1" applyFont="1" applyFill="1" applyBorder="1" applyAlignment="1">
      <alignment horizontal="right"/>
    </xf>
    <xf numFmtId="164" fontId="10" fillId="9" borderId="4" xfId="0" applyNumberFormat="1" applyFont="1" applyFill="1" applyBorder="1" applyAlignment="1">
      <alignment horizontal="right"/>
    </xf>
    <xf numFmtId="4" fontId="9" fillId="0" borderId="4" xfId="0" applyNumberFormat="1" applyFont="1" applyBorder="1" applyAlignment="1">
      <alignment horizontal="right"/>
    </xf>
    <xf numFmtId="4" fontId="6" fillId="0" borderId="4" xfId="0" applyNumberFormat="1" applyFont="1" applyBorder="1" applyAlignment="1">
      <alignment horizontal="right"/>
    </xf>
    <xf numFmtId="4" fontId="6" fillId="8" borderId="4" xfId="0" applyNumberFormat="1" applyFont="1" applyFill="1" applyBorder="1" applyAlignment="1">
      <alignment horizontal="right"/>
    </xf>
    <xf numFmtId="0" fontId="4" fillId="2" borderId="0" xfId="0" applyFont="1" applyFill="1" applyAlignment="1">
      <alignment horizontal="center" vertical="center"/>
    </xf>
    <xf numFmtId="0" fontId="0" fillId="0" borderId="0" xfId="0"/>
    <xf numFmtId="0" fontId="7" fillId="7" borderId="2" xfId="0" applyFont="1" applyFill="1" applyBorder="1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104775</xdr:rowOff>
    </xdr:from>
    <xdr:to>
      <xdr:col>0</xdr:col>
      <xdr:colOff>895350</xdr:colOff>
      <xdr:row>0</xdr:row>
      <xdr:rowOff>342900</xdr:rowOff>
    </xdr:to>
    <xdr:sp macro="[0]!ImportarCotizacion.ImportarCotizacion" textlink="">
      <xdr:nvSpPr>
        <xdr:cNvPr id="3" name="Rectangle 2">
          <a:extLst>
            <a:ext uri="{FF2B5EF4-FFF2-40B4-BE49-F238E27FC236}">
              <a16:creationId xmlns:a16="http://schemas.microsoft.com/office/drawing/2014/main" id="{FEA15296-9DD9-5431-22E1-FF48503B6072}"/>
            </a:ext>
          </a:extLst>
        </xdr:cNvPr>
        <xdr:cNvSpPr/>
      </xdr:nvSpPr>
      <xdr:spPr>
        <a:xfrm>
          <a:off x="133350" y="104775"/>
          <a:ext cx="762000" cy="2381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IMPORT</a:t>
          </a:r>
        </a:p>
      </xdr:txBody>
    </xdr:sp>
    <xdr:clientData/>
  </xdr:twoCellAnchor>
  <xdr:twoCellAnchor>
    <xdr:from>
      <xdr:col>1</xdr:col>
      <xdr:colOff>104775</xdr:colOff>
      <xdr:row>0</xdr:row>
      <xdr:rowOff>95250</xdr:rowOff>
    </xdr:from>
    <xdr:to>
      <xdr:col>1</xdr:col>
      <xdr:colOff>781050</xdr:colOff>
      <xdr:row>0</xdr:row>
      <xdr:rowOff>333375</xdr:rowOff>
    </xdr:to>
    <xdr:sp macro="[0]!BuscarPreciosOEM" textlink="">
      <xdr:nvSpPr>
        <xdr:cNvPr id="2" name="Rectangle 1">
          <a:extLst>
            <a:ext uri="{FF2B5EF4-FFF2-40B4-BE49-F238E27FC236}">
              <a16:creationId xmlns:a16="http://schemas.microsoft.com/office/drawing/2014/main" id="{EC8C3EB4-5134-8096-6B32-E2E2132A4E2C}"/>
            </a:ext>
          </a:extLst>
        </xdr:cNvPr>
        <xdr:cNvSpPr/>
      </xdr:nvSpPr>
      <xdr:spPr>
        <a:xfrm>
          <a:off x="1038225" y="95250"/>
          <a:ext cx="676275" cy="23812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OEM</a:t>
          </a:r>
          <a:r>
            <a:rPr lang="en-US" sz="1100" baseline="0"/>
            <a:t> PX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workbookViewId="0">
      <selection sqref="A1:B1"/>
    </sheetView>
  </sheetViews>
  <sheetFormatPr defaultRowHeight="15" x14ac:dyDescent="0.25"/>
  <cols>
    <col min="1" max="1" width="22" customWidth="1"/>
    <col min="2" max="2" width="14" customWidth="1"/>
  </cols>
  <sheetData>
    <row r="1" spans="1:2" ht="24" customHeight="1" x14ac:dyDescent="0.25">
      <c r="A1" s="33" t="s">
        <v>0</v>
      </c>
      <c r="B1" s="30"/>
    </row>
    <row r="2" spans="1:2" x14ac:dyDescent="0.25">
      <c r="A2" s="1" t="s">
        <v>1</v>
      </c>
      <c r="B2" s="2">
        <v>15</v>
      </c>
    </row>
    <row r="3" spans="1:2" x14ac:dyDescent="0.25">
      <c r="A3" s="1" t="s">
        <v>2</v>
      </c>
      <c r="B3" s="2">
        <v>5</v>
      </c>
    </row>
    <row r="4" spans="1:2" x14ac:dyDescent="0.25">
      <c r="A4" s="1" t="s">
        <v>3</v>
      </c>
      <c r="B4" s="2">
        <v>20</v>
      </c>
    </row>
  </sheetData>
  <mergeCells count="1">
    <mergeCell ref="A1:B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6"/>
  <sheetViews>
    <sheetView tabSelected="1" workbookViewId="0">
      <pane xSplit="3" ySplit="2" topLeftCell="G3" activePane="bottomRight" state="frozen"/>
      <selection pane="topRight"/>
      <selection pane="bottomLeft"/>
      <selection pane="bottomRight" activeCell="B9" sqref="B9"/>
    </sheetView>
  </sheetViews>
  <sheetFormatPr defaultRowHeight="15" outlineLevelCol="1" x14ac:dyDescent="0.25"/>
  <cols>
    <col min="1" max="1" width="14" customWidth="1"/>
    <col min="2" max="2" width="30" customWidth="1"/>
    <col min="3" max="3" width="14" customWidth="1"/>
    <col min="4" max="7" width="10" customWidth="1"/>
    <col min="8" max="23" width="11" customWidth="1" outlineLevel="1"/>
    <col min="24" max="24" width="14" customWidth="1"/>
    <col min="25" max="25" width="20" customWidth="1"/>
  </cols>
  <sheetData>
    <row r="1" spans="1:29" ht="30" customHeight="1" x14ac:dyDescent="0.25">
      <c r="A1" s="29" t="s">
        <v>4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9" ht="36" customHeight="1" thickBot="1" x14ac:dyDescent="0.3">
      <c r="A2" s="3" t="s">
        <v>5</v>
      </c>
      <c r="B2" s="3" t="s">
        <v>6</v>
      </c>
      <c r="C2" s="3" t="s">
        <v>7</v>
      </c>
      <c r="D2" s="3" t="s">
        <v>8</v>
      </c>
      <c r="E2" s="3" t="s">
        <v>9</v>
      </c>
      <c r="F2" s="3" t="s">
        <v>10</v>
      </c>
      <c r="G2" s="3" t="s">
        <v>11</v>
      </c>
      <c r="H2" s="4" t="s">
        <v>12</v>
      </c>
      <c r="I2" s="4" t="s">
        <v>13</v>
      </c>
      <c r="J2" s="4" t="s">
        <v>14</v>
      </c>
      <c r="K2" s="4" t="s">
        <v>15</v>
      </c>
      <c r="L2" s="4" t="s">
        <v>16</v>
      </c>
      <c r="M2" s="4" t="s">
        <v>17</v>
      </c>
      <c r="N2" s="4" t="s">
        <v>18</v>
      </c>
      <c r="O2" s="4" t="s">
        <v>19</v>
      </c>
      <c r="P2" s="4" t="s">
        <v>20</v>
      </c>
      <c r="Q2" s="4" t="s">
        <v>21</v>
      </c>
      <c r="R2" s="4" t="s">
        <v>22</v>
      </c>
      <c r="S2" s="4" t="s">
        <v>23</v>
      </c>
      <c r="T2" s="4" t="s">
        <v>24</v>
      </c>
      <c r="U2" s="4" t="s">
        <v>25</v>
      </c>
      <c r="V2" s="4" t="s">
        <v>26</v>
      </c>
      <c r="W2" s="4" t="s">
        <v>27</v>
      </c>
      <c r="X2" s="5" t="s">
        <v>28</v>
      </c>
      <c r="Y2" s="6" t="s">
        <v>29</v>
      </c>
      <c r="Z2" t="s">
        <v>38</v>
      </c>
      <c r="AA2" t="s">
        <v>39</v>
      </c>
      <c r="AB2" t="s">
        <v>40</v>
      </c>
      <c r="AC2" t="s">
        <v>41</v>
      </c>
    </row>
    <row r="3" spans="1:29" ht="20.100000000000001" customHeight="1" x14ac:dyDescent="0.25">
      <c r="A3" s="31" t="s">
        <v>36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7">
        <v>46199.370752314811</v>
      </c>
    </row>
    <row r="4" spans="1:29" ht="18" customHeight="1" x14ac:dyDescent="0.25">
      <c r="A4" s="8" t="s">
        <v>30</v>
      </c>
      <c r="B4" s="8" t="s">
        <v>31</v>
      </c>
      <c r="C4" s="8"/>
      <c r="D4" s="10"/>
      <c r="E4" s="11"/>
      <c r="F4" s="12"/>
      <c r="G4" s="12">
        <f>CONFIG!$B$4</f>
        <v>20</v>
      </c>
      <c r="H4" s="16" t="str">
        <f>IF(D4="","",0.01*D4)</f>
        <v/>
      </c>
      <c r="I4" s="16" t="str">
        <f>IF(E4="","",1.57*E4)</f>
        <v/>
      </c>
      <c r="J4" s="16" t="str">
        <f>IF(D4="","",D4+H4+I4)</f>
        <v/>
      </c>
      <c r="K4" s="16" t="str">
        <f>IF(J4="","",J4*(F4/100))</f>
        <v/>
      </c>
      <c r="L4" s="16" t="str">
        <f>IF(J4="","",0.005*J4)</f>
        <v/>
      </c>
      <c r="M4" s="16" t="str">
        <f>IF(J4="","",(CONFIG!$B$2/100)*(J4+K4+L4))</f>
        <v/>
      </c>
      <c r="N4" s="18" t="str">
        <f>IF(K4="","",K4+L4+M4)</f>
        <v/>
      </c>
      <c r="O4" s="16" t="str">
        <f>IF(D4="","",D4*(CONFIG!$B$3/100))</f>
        <v/>
      </c>
      <c r="P4" s="16" t="str">
        <f>IF(E4="","",3.7*E4*(1+CONFIG!$B$2/100))</f>
        <v/>
      </c>
      <c r="Q4" s="16" t="str">
        <f>IF(P4="","",0.027*P4)</f>
        <v/>
      </c>
      <c r="R4" s="16" t="str">
        <f>IF(P4="","",0.017*P4)</f>
        <v/>
      </c>
      <c r="S4" s="16" t="str">
        <f>IF(E4="","",(30/35)*E4*(1+CONFIG!$B$2/100))</f>
        <v/>
      </c>
      <c r="T4" s="18" t="str">
        <f>IF(P4="","",P4+Q4+R4+S4)</f>
        <v/>
      </c>
      <c r="U4" s="18" t="str">
        <f>IF(D4="","",D4+O4+N4+T4)</f>
        <v/>
      </c>
      <c r="V4" s="16" t="str">
        <f>IF(U4="","",(G4/100)*U4)</f>
        <v/>
      </c>
      <c r="W4" s="16" t="str">
        <f>IF(M4="","",M4)</f>
        <v/>
      </c>
      <c r="X4" s="20" t="str">
        <f>IF(U4="","",U4+V4-W4)</f>
        <v/>
      </c>
      <c r="AB4" t="s">
        <v>37</v>
      </c>
    </row>
    <row r="5" spans="1:29" ht="18" customHeight="1" x14ac:dyDescent="0.25">
      <c r="A5" s="22" t="s">
        <v>32</v>
      </c>
      <c r="B5" s="22" t="s">
        <v>33</v>
      </c>
      <c r="C5" s="22"/>
      <c r="D5" s="23"/>
      <c r="E5" s="24"/>
      <c r="F5" s="25"/>
      <c r="G5" s="25">
        <f>CONFIG!$B$4</f>
        <v>20</v>
      </c>
      <c r="H5" s="26" t="str">
        <f>IF(D5="","",0.01*D5)</f>
        <v/>
      </c>
      <c r="I5" s="26" t="str">
        <f>IF(E5="","",1.57*E5)</f>
        <v/>
      </c>
      <c r="J5" s="26" t="str">
        <f>IF(D5="","",D5+H5+I5)</f>
        <v/>
      </c>
      <c r="K5" s="26" t="str">
        <f>IF(J5="","",J5*(F5/100))</f>
        <v/>
      </c>
      <c r="L5" s="26" t="str">
        <f>IF(J5="","",0.005*J5)</f>
        <v/>
      </c>
      <c r="M5" s="26" t="str">
        <f>IF(J5="","",(CONFIG!$B$2/100)*(J5+K5+L5))</f>
        <v/>
      </c>
      <c r="N5" s="27" t="str">
        <f>IF(K5="","",K5+L5+M5)</f>
        <v/>
      </c>
      <c r="O5" s="26" t="str">
        <f>IF(D5="","",D5*(CONFIG!$B$3/100))</f>
        <v/>
      </c>
      <c r="P5" s="26" t="str">
        <f>IF(E5="","",3.7*E5*(1+CONFIG!$B$2/100))</f>
        <v/>
      </c>
      <c r="Q5" s="26" t="str">
        <f>IF(P5="","",0.027*P5)</f>
        <v/>
      </c>
      <c r="R5" s="26" t="str">
        <f>IF(P5="","",0.017*P5)</f>
        <v/>
      </c>
      <c r="S5" s="26" t="str">
        <f>IF(E5="","",(30/35)*E5*(1+CONFIG!$B$2/100))</f>
        <v/>
      </c>
      <c r="T5" s="27" t="str">
        <f>IF(P5="","",P5+Q5+R5+S5)</f>
        <v/>
      </c>
      <c r="U5" s="27" t="str">
        <f>IF(D5="","",D5+O5+N5+T5)</f>
        <v/>
      </c>
      <c r="V5" s="26" t="str">
        <f>IF(U5="","",(G5/100)*U5)</f>
        <v/>
      </c>
      <c r="W5" s="26" t="str">
        <f>IF(M5="","",M5)</f>
        <v/>
      </c>
      <c r="X5" s="28" t="str">
        <f>IF(U5="","",U5+V5-W5)</f>
        <v/>
      </c>
      <c r="AB5" t="s">
        <v>37</v>
      </c>
    </row>
    <row r="6" spans="1:29" ht="18" customHeight="1" x14ac:dyDescent="0.25">
      <c r="A6" s="9" t="s">
        <v>34</v>
      </c>
      <c r="B6" s="9" t="s">
        <v>35</v>
      </c>
      <c r="C6" s="9"/>
      <c r="D6" s="13"/>
      <c r="E6" s="14"/>
      <c r="F6" s="15"/>
      <c r="G6" s="15">
        <f>CONFIG!$B$4</f>
        <v>20</v>
      </c>
      <c r="H6" s="17" t="str">
        <f>IF(D6="","",0.01*D6)</f>
        <v/>
      </c>
      <c r="I6" s="17" t="str">
        <f>IF(E6="","",1.57*E6)</f>
        <v/>
      </c>
      <c r="J6" s="17" t="str">
        <f>IF(D6="","",D6+H6+I6)</f>
        <v/>
      </c>
      <c r="K6" s="17" t="str">
        <f>IF(J6="","",J6*(F6/100))</f>
        <v/>
      </c>
      <c r="L6" s="17" t="str">
        <f>IF(J6="","",0.005*J6)</f>
        <v/>
      </c>
      <c r="M6" s="17" t="str">
        <f>IF(J6="","",(CONFIG!$B$2/100)*(J6+K6+L6))</f>
        <v/>
      </c>
      <c r="N6" s="19" t="str">
        <f>IF(K6="","",K6+L6+M6)</f>
        <v/>
      </c>
      <c r="O6" s="17" t="str">
        <f>IF(D6="","",D6*(CONFIG!$B$3/100))</f>
        <v/>
      </c>
      <c r="P6" s="17" t="str">
        <f>IF(E6="","",3.7*E6*(1+CONFIG!$B$2/100))</f>
        <v/>
      </c>
      <c r="Q6" s="17" t="str">
        <f>IF(P6="","",0.027*P6)</f>
        <v/>
      </c>
      <c r="R6" s="17" t="str">
        <f>IF(P6="","",0.017*P6)</f>
        <v/>
      </c>
      <c r="S6" s="17" t="str">
        <f>IF(E6="","",(30/35)*E6*(1+CONFIG!$B$2/100))</f>
        <v/>
      </c>
      <c r="T6" s="19" t="str">
        <f>IF(P6="","",P6+Q6+R6+S6)</f>
        <v/>
      </c>
      <c r="U6" s="19" t="str">
        <f>IF(D6="","",D6+O6+N6+T6)</f>
        <v/>
      </c>
      <c r="V6" s="17" t="str">
        <f>IF(U6="","",(G6/100)*U6)</f>
        <v/>
      </c>
      <c r="W6" s="17" t="str">
        <f>IF(M6="","",M6)</f>
        <v/>
      </c>
      <c r="X6" s="21" t="str">
        <f>IF(U6="","",U6+V6-W6)</f>
        <v/>
      </c>
      <c r="AB6" t="s">
        <v>37</v>
      </c>
    </row>
  </sheetData>
  <mergeCells count="2">
    <mergeCell ref="A1:Y1"/>
    <mergeCell ref="A3:X3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COTIZACION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Juan Guerra Páez</cp:lastModifiedBy>
  <dcterms:created xsi:type="dcterms:W3CDTF">2026-06-26T12:40:27Z</dcterms:created>
  <dcterms:modified xsi:type="dcterms:W3CDTF">2026-06-26T14:37:57Z</dcterms:modified>
</cp:coreProperties>
</file>